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ARAMETROS" sheetId="2" state="visible" r:id="rId2"/>
    <sheet xmlns:r="http://schemas.openxmlformats.org/officeDocument/2006/relationships" name="CIERRE_DIARIO" sheetId="3" state="visible" r:id="rId3"/>
    <sheet xmlns:r="http://schemas.openxmlformats.org/officeDocument/2006/relationships" name="BASE_DATOS" sheetId="4" state="visible" r:id="rId4"/>
    <sheet xmlns:r="http://schemas.openxmlformats.org/officeDocument/2006/relationships"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yyyy-mm-dd"/>
    <numFmt numFmtId="166" formatCode="DD/MM/YYYY"/>
    <numFmt numFmtId="167" formatCode="$#,##0.00;($#,##0.00)"/>
  </numFmts>
  <fonts count="4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6C757D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155724"/>
      <sz val="10"/>
    </font>
    <font>
      <name val="Arial"/>
      <b val="1"/>
      <color rgb="00155724"/>
      <sz val="10"/>
    </font>
    <font>
      <name val="Arial"/>
      <color rgb="00856404"/>
      <sz val="10"/>
    </font>
    <font>
      <name val="Arial"/>
      <b val="1"/>
      <color rgb="00856404"/>
      <sz val="10"/>
    </font>
    <font>
      <name val="Arial"/>
      <color rgb="007D4E00"/>
      <sz val="10"/>
    </font>
    <font>
      <name val="Arial"/>
      <b val="1"/>
      <color rgb="007D4E00"/>
      <sz val="10"/>
    </font>
    <font>
      <name val="Arial"/>
      <color rgb="00721C24"/>
      <sz val="10"/>
    </font>
    <font>
      <name val="Arial"/>
      <b val="1"/>
      <color rgb="00721C24"/>
      <sz val="10"/>
    </font>
    <font>
      <name val="Arial"/>
      <b val="1"/>
      <color rgb="00000000"/>
      <sz val="10"/>
    </font>
    <font>
      <name val="Arial"/>
      <b val="1"/>
      <color rgb="000000FF"/>
      <sz val="11"/>
    </font>
    <font>
      <name val="Arial"/>
      <i val="1"/>
      <color rgb="006C757D"/>
      <sz val="10"/>
    </font>
    <font>
      <name val="Arial"/>
      <b val="1"/>
      <color rgb="00E63946"/>
      <sz val="10"/>
    </font>
    <font>
      <name val="Arial"/>
      <b val="1"/>
      <color rgb="00000000"/>
      <sz val="11"/>
    </font>
    <font>
      <name val="Arial"/>
      <color rgb="000000FF"/>
      <sz val="10"/>
    </font>
    <font>
      <name val="Arial"/>
      <b val="1"/>
      <color rgb="001A1A2E"/>
      <sz val="10"/>
    </font>
    <font>
      <name val="Arial"/>
      <b val="1"/>
      <color rgb="00457B9D"/>
      <sz val="10"/>
    </font>
    <font>
      <name val="Arial"/>
      <b val="1"/>
      <color rgb="00E63946"/>
      <sz val="11"/>
    </font>
    <font>
      <name val="Arial"/>
      <color rgb="00008000"/>
      <sz val="10"/>
    </font>
    <font>
      <name val="Arial"/>
      <color rgb="006C757D"/>
      <sz val="10"/>
    </font>
    <font>
      <name val="Arial"/>
      <b val="1"/>
      <sz val="10"/>
    </font>
    <font>
      <name val="Arial"/>
      <b val="1"/>
      <color rgb="000000FF"/>
      <sz val="10"/>
    </font>
    <font>
      <name val="Arial"/>
      <b val="1"/>
      <color rgb="00FFFFFF"/>
      <sz val="12"/>
    </font>
    <font>
      <name val="Arial"/>
      <b val="1"/>
      <color rgb="00FFFFFF"/>
      <sz val="14"/>
    </font>
    <font>
      <name val="Arial"/>
      <i val="1"/>
      <color rgb="00A8DADC"/>
      <sz val="9"/>
    </font>
    <font>
      <name val="Arial"/>
      <b val="1"/>
      <color rgb="00004085"/>
      <sz val="10"/>
    </font>
    <font>
      <name val="Arial"/>
      <b val="1"/>
      <color rgb="00FFFFFF"/>
      <sz val="11"/>
    </font>
    <font>
      <name val="Arial"/>
      <color rgb="00FFFFFF"/>
    </font>
    <font>
      <name val="Arial"/>
      <i val="1"/>
      <color rgb="00A8DADC"/>
      <sz val="10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color rgb="00000000"/>
      <sz val="11"/>
    </font>
    <font>
      <name val="Arial"/>
      <b val="1"/>
      <color rgb="00155724"/>
      <sz val="11"/>
    </font>
    <font>
      <name val="Arial"/>
      <b val="1"/>
      <color rgb="00FFFFFF"/>
      <sz val="18"/>
    </font>
    <font>
      <name val="Arial"/>
      <b val="1"/>
      <color rgb="001A1A2E"/>
      <sz val="12"/>
    </font>
    <font>
      <name val="Arial"/>
      <color rgb="001A1A2E"/>
      <sz val="10"/>
    </font>
    <font>
      <name val="Arial"/>
      <color rgb="00FFFFFF"/>
      <sz val="10"/>
    </font>
  </fonts>
  <fills count="1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457B9D"/>
      </patternFill>
    </fill>
    <fill>
      <patternFill patternType="solid">
        <fgColor rgb="00FFFFFF"/>
      </patternFill>
    </fill>
    <fill>
      <patternFill patternType="solid">
        <fgColor rgb="00F8F9FA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FE5B4"/>
      </patternFill>
    </fill>
    <fill>
      <patternFill patternType="solid">
        <fgColor rgb="00F8D7DA"/>
      </patternFill>
    </fill>
    <fill>
      <patternFill patternType="solid">
        <fgColor rgb="00EBF5FB"/>
      </patternFill>
    </fill>
    <fill>
      <patternFill patternType="solid">
        <fgColor rgb="00E8F4F8"/>
      </patternFill>
    </fill>
    <fill>
      <patternFill patternType="solid">
        <fgColor rgb="00E63946"/>
      </patternFill>
    </fill>
    <fill>
      <patternFill patternType="solid">
        <fgColor rgb="00CCE5FF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20">
    <xf numFmtId="0" fontId="0" fillId="0" borderId="0" pivotButton="0" quotePrefix="0" xfId="0"/>
    <xf numFmtId="0" fontId="27" fillId="2" borderId="0" applyAlignment="1" pivotButton="0" quotePrefix="0" xfId="0">
      <alignment horizontal="center" vertical="center" wrapText="1"/>
    </xf>
    <xf numFmtId="0" fontId="39" fillId="4" borderId="1" pivotButton="0" quotePrefix="0" xfId="0"/>
    <xf numFmtId="0" fontId="3" fillId="2" borderId="1" pivotButton="0" quotePrefix="0" xfId="0"/>
    <xf numFmtId="0" fontId="40" fillId="2" borderId="1" pivotButton="0" quotePrefix="0" xfId="0"/>
    <xf numFmtId="0" fontId="39" fillId="5" borderId="1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pivotButton="0" quotePrefix="0" xfId="0"/>
    <xf numFmtId="164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5" borderId="1" pivotButton="0" quotePrefix="0" xfId="0"/>
    <xf numFmtId="164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13" fillId="5" borderId="1" pivotButton="0" quotePrefix="0" xfId="0"/>
    <xf numFmtId="164" fontId="14" fillId="10" borderId="1" applyAlignment="1" pivotButton="0" quotePrefix="0" xfId="0">
      <alignment horizontal="center" vertical="center" wrapText="1"/>
    </xf>
    <xf numFmtId="0" fontId="15" fillId="5" borderId="1" pivotButton="0" quotePrefix="0" xfId="0"/>
    <xf numFmtId="0" fontId="16" fillId="0" borderId="0" pivotButton="0" quotePrefix="0" xfId="0"/>
    <xf numFmtId="0" fontId="15" fillId="0" borderId="0" pivotButton="0" quotePrefix="0" xfId="0"/>
    <xf numFmtId="166" fontId="14" fillId="10" borderId="1" applyAlignment="1" pivotButton="0" quotePrefix="0" xfId="0">
      <alignment horizontal="center" vertical="center" wrapText="1"/>
    </xf>
    <xf numFmtId="0" fontId="17" fillId="11" borderId="1" applyAlignment="1" pivotButton="0" quotePrefix="0" xfId="0">
      <alignment horizontal="center" vertical="center" wrapText="1"/>
    </xf>
    <xf numFmtId="0" fontId="14" fillId="10" borderId="1" pivotButton="0" quotePrefix="0" xfId="0"/>
    <xf numFmtId="0" fontId="3" fillId="12" borderId="1" applyAlignment="1" pivotButton="0" quotePrefix="0" xfId="0">
      <alignment horizontal="center" vertical="center" wrapText="1"/>
    </xf>
    <xf numFmtId="3" fontId="18" fillId="10" borderId="1" applyAlignment="1" pivotButton="0" quotePrefix="0" xfId="0">
      <alignment horizontal="center" vertical="center" wrapText="1"/>
    </xf>
    <xf numFmtId="3" fontId="19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3" fontId="19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9" fillId="11" borderId="1" applyAlignment="1" pivotButton="0" quotePrefix="0" xfId="0">
      <alignment horizontal="left" vertical="center" wrapText="1"/>
    </xf>
    <xf numFmtId="0" fontId="0" fillId="11" borderId="1" applyAlignment="1" pivotButton="0" quotePrefix="0" xfId="0">
      <alignment horizontal="center" vertical="center" wrapText="1"/>
    </xf>
    <xf numFmtId="0" fontId="20" fillId="11" borderId="1" applyAlignment="1" pivotButton="0" quotePrefix="0" xfId="0">
      <alignment horizontal="center" vertical="center" wrapText="1"/>
    </xf>
    <xf numFmtId="0" fontId="2" fillId="11" borderId="1" pivotButton="0" quotePrefix="0" xfId="0"/>
    <xf numFmtId="0" fontId="19" fillId="7" borderId="1" pivotButton="0" quotePrefix="0" xfId="0"/>
    <xf numFmtId="3" fontId="21" fillId="7" borderId="1" applyAlignment="1" pivotButton="0" quotePrefix="0" xfId="0">
      <alignment horizontal="center" vertical="center" wrapText="1"/>
    </xf>
    <xf numFmtId="164" fontId="22" fillId="4" borderId="1" applyAlignment="1" pivotButton="0" quotePrefix="0" xfId="0">
      <alignment horizontal="center" vertical="center" wrapText="1"/>
    </xf>
    <xf numFmtId="0" fontId="23" fillId="4" borderId="1" applyAlignment="1" pivotButton="0" quotePrefix="0" xfId="0">
      <alignment horizontal="center" vertical="center" wrapText="1"/>
    </xf>
    <xf numFmtId="164" fontId="22" fillId="5" borderId="1" applyAlignment="1" pivotButton="0" quotePrefix="0" xfId="0">
      <alignment horizontal="center" vertical="center" wrapText="1"/>
    </xf>
    <xf numFmtId="0" fontId="23" fillId="5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0" fillId="3" borderId="1" pivotButton="0" quotePrefix="0" xfId="0"/>
    <xf numFmtId="164" fontId="3" fillId="3" borderId="1" applyAlignment="1" pivotButton="0" quotePrefix="0" xfId="0">
      <alignment horizontal="center" vertical="center" wrapText="1"/>
    </xf>
    <xf numFmtId="0" fontId="13" fillId="4" borderId="1" pivotButton="0" quotePrefix="0" xfId="0"/>
    <xf numFmtId="164" fontId="18" fillId="10" borderId="1" applyAlignment="1" pivotButton="0" quotePrefix="0" xfId="0">
      <alignment horizontal="right" vertical="center"/>
    </xf>
    <xf numFmtId="0" fontId="15" fillId="10" borderId="1" pivotButton="0" quotePrefix="0" xfId="0"/>
    <xf numFmtId="0" fontId="18" fillId="10" borderId="1" pivotButton="0" quotePrefix="0" xfId="0"/>
    <xf numFmtId="0" fontId="24" fillId="11" borderId="1" pivotButton="0" quotePrefix="0" xfId="0"/>
    <xf numFmtId="164" fontId="13" fillId="11" borderId="1" applyAlignment="1" pivotButton="0" quotePrefix="0" xfId="0">
      <alignment horizontal="right" vertical="center"/>
    </xf>
    <xf numFmtId="0" fontId="0" fillId="11" borderId="1" pivotButton="0" quotePrefix="0" xfId="0"/>
    <xf numFmtId="164" fontId="25" fillId="10" borderId="1" applyAlignment="1" pivotButton="0" quotePrefix="0" xfId="0">
      <alignment horizontal="right" vertical="center"/>
    </xf>
    <xf numFmtId="0" fontId="26" fillId="2" borderId="1" pivotButton="0" quotePrefix="0" xfId="0"/>
    <xf numFmtId="164" fontId="27" fillId="2" borderId="1" applyAlignment="1" pivotButton="0" quotePrefix="0" xfId="0">
      <alignment horizontal="right" vertical="center"/>
    </xf>
    <xf numFmtId="0" fontId="28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3" fontId="4" fillId="11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0" fontId="29" fillId="13" borderId="1" pivotButton="0" quotePrefix="0" xfId="0"/>
    <xf numFmtId="0" fontId="0" fillId="13" borderId="1" pivotButton="0" quotePrefix="0" xfId="0"/>
    <xf numFmtId="0" fontId="29" fillId="13" borderId="1" applyAlignment="1" pivotButton="0" quotePrefix="0" xfId="0">
      <alignment horizontal="center" vertical="center" wrapText="1"/>
    </xf>
    <xf numFmtId="164" fontId="29" fillId="13" borderId="1" applyAlignment="1" pivotButton="0" quotePrefix="0" xfId="0">
      <alignment horizontal="right" vertical="center"/>
    </xf>
    <xf numFmtId="0" fontId="13" fillId="8" borderId="1" pivotButton="0" quotePrefix="0" xfId="0"/>
    <xf numFmtId="0" fontId="23" fillId="8" borderId="1" applyAlignment="1" pivotButton="0" quotePrefix="0" xfId="0">
      <alignment horizontal="center" vertical="center" wrapText="1"/>
    </xf>
    <xf numFmtId="3" fontId="4" fillId="8" borderId="1" applyAlignment="1" pivotButton="0" quotePrefix="0" xfId="0">
      <alignment horizontal="center" vertical="center" wrapText="1"/>
    </xf>
    <xf numFmtId="164" fontId="22" fillId="8" borderId="1" applyAlignment="1" pivotButton="0" quotePrefix="0" xfId="0">
      <alignment horizontal="center" vertical="center" wrapText="1"/>
    </xf>
    <xf numFmtId="164" fontId="4" fillId="8" borderId="1" applyAlignment="1" pivotButton="0" quotePrefix="0" xfId="0">
      <alignment horizontal="right" vertical="center"/>
    </xf>
    <xf numFmtId="0" fontId="0" fillId="8" borderId="1" pivotButton="0" quotePrefix="0" xfId="0"/>
    <xf numFmtId="0" fontId="10" fillId="8" borderId="1" pivotButton="0" quotePrefix="0" xfId="0"/>
    <xf numFmtId="164" fontId="10" fillId="8" borderId="1" applyAlignment="1" pivotButton="0" quotePrefix="0" xfId="0">
      <alignment horizontal="right" vertical="center"/>
    </xf>
    <xf numFmtId="0" fontId="0" fillId="2" borderId="1" pivotButton="0" quotePrefix="0" xfId="0"/>
    <xf numFmtId="0" fontId="26" fillId="2" borderId="1" applyAlignment="1" pivotButton="0" quotePrefix="0" xfId="0">
      <alignment horizontal="center" vertical="center" wrapText="1"/>
    </xf>
    <xf numFmtId="0" fontId="30" fillId="2" borderId="1" pivotButton="0" quotePrefix="0" xfId="0"/>
    <xf numFmtId="0" fontId="31" fillId="2" borderId="1" applyAlignment="1" pivotButton="0" quotePrefix="0" xfId="0">
      <alignment horizontal="center" vertical="center" wrapText="1"/>
    </xf>
    <xf numFmtId="0" fontId="32" fillId="2" borderId="1" pivotButton="0" quotePrefix="0" xfId="0"/>
    <xf numFmtId="0" fontId="30" fillId="3" borderId="1" pivotButton="0" quotePrefix="0" xfId="0"/>
    <xf numFmtId="3" fontId="27" fillId="3" borderId="1" applyAlignment="1" pivotButton="0" quotePrefix="0" xfId="0">
      <alignment horizontal="center" vertical="center" wrapText="1"/>
    </xf>
    <xf numFmtId="164" fontId="33" fillId="3" borderId="1" applyAlignment="1" pivotButton="0" quotePrefix="0" xfId="0">
      <alignment horizontal="right" vertical="center"/>
    </xf>
    <xf numFmtId="0" fontId="34" fillId="3" borderId="1" pivotButton="0" quotePrefix="0" xfId="0"/>
    <xf numFmtId="0" fontId="30" fillId="12" borderId="1" pivotButton="0" quotePrefix="0" xfId="0"/>
    <xf numFmtId="0" fontId="31" fillId="12" borderId="1" applyAlignment="1" pivotButton="0" quotePrefix="0" xfId="0">
      <alignment horizontal="center" vertical="center" wrapText="1"/>
    </xf>
    <xf numFmtId="167" fontId="27" fillId="12" borderId="1" applyAlignment="1" pivotButton="0" quotePrefix="0" xfId="0">
      <alignment horizontal="right" vertical="center"/>
    </xf>
    <xf numFmtId="167" fontId="35" fillId="4" borderId="1" applyAlignment="1" pivotButton="0" quotePrefix="0" xfId="0">
      <alignment horizontal="right" vertical="center"/>
    </xf>
    <xf numFmtId="0" fontId="15" fillId="4" borderId="1" pivotButton="0" quotePrefix="0" xfId="0"/>
    <xf numFmtId="167" fontId="35" fillId="5" borderId="1" applyAlignment="1" pivotButton="0" quotePrefix="0" xfId="0">
      <alignment horizontal="right" vertical="center"/>
    </xf>
    <xf numFmtId="0" fontId="6" fillId="6" borderId="1" pivotButton="0" quotePrefix="0" xfId="0"/>
    <xf numFmtId="167" fontId="36" fillId="6" borderId="1" applyAlignment="1" pivotButton="0" quotePrefix="0" xfId="0">
      <alignment horizontal="right" vertical="center"/>
    </xf>
    <xf numFmtId="0" fontId="15" fillId="6" borderId="1" pivotButton="0" quotePrefix="0" xfId="0"/>
    <xf numFmtId="166" fontId="4" fillId="5" borderId="1" applyAlignment="1" pivotButton="0" quotePrefix="0" xfId="0">
      <alignment horizontal="center" vertical="center" wrapText="1"/>
    </xf>
    <xf numFmtId="4" fontId="4" fillId="5" borderId="1" applyAlignment="1" pivotButton="0" quotePrefix="0" xfId="0">
      <alignment horizontal="center" vertical="center" wrapText="1"/>
    </xf>
    <xf numFmtId="0" fontId="37" fillId="2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 wrapText="1"/>
    </xf>
    <xf numFmtId="3" fontId="38" fillId="5" borderId="1" applyAlignment="1" pivotButton="0" quotePrefix="0" xfId="0">
      <alignment horizontal="center" vertical="center" wrapText="1"/>
    </xf>
    <xf numFmtId="164" fontId="38" fillId="6" borderId="1" applyAlignment="1" pivotButton="0" quotePrefix="0" xfId="0">
      <alignment horizontal="center" vertical="center" wrapText="1"/>
    </xf>
    <xf numFmtId="164" fontId="38" fillId="11" borderId="1" applyAlignment="1" pivotButton="0" quotePrefix="0" xfId="0">
      <alignment horizontal="center" vertical="center" wrapText="1"/>
    </xf>
    <xf numFmtId="3" fontId="38" fillId="13" borderId="1" applyAlignment="1" pivotButton="0" quotePrefix="0" xfId="0">
      <alignment horizontal="center" vertical="center" wrapText="1"/>
    </xf>
    <xf numFmtId="164" fontId="38" fillId="7" borderId="1" applyAlignment="1" pivotButton="0" quotePrefix="0" xfId="0">
      <alignment horizontal="center" vertical="center" wrapText="1"/>
    </xf>
    <xf numFmtId="3" fontId="38" fillId="6" borderId="1" applyAlignment="1" pivotButton="0" quotePrefix="0" xfId="0">
      <alignment horizontal="center" vertical="center" wrapText="1"/>
    </xf>
    <xf numFmtId="3" fontId="38" fillId="7" borderId="1" applyAlignment="1" pivotButton="0" quotePrefix="0" xfId="0">
      <alignment horizontal="center" vertical="center" wrapText="1"/>
    </xf>
    <xf numFmtId="3" fontId="38" fillId="8" borderId="1" applyAlignment="1" pivotButton="0" quotePrefix="0" xfId="0">
      <alignment horizontal="center" vertical="center" wrapText="1"/>
    </xf>
    <xf numFmtId="3" fontId="38" fillId="9" borderId="1" applyAlignment="1" pivotButton="0" quotePrefix="0" xfId="0">
      <alignment horizontal="center" vertical="center" wrapText="1"/>
    </xf>
    <xf numFmtId="49" fontId="38" fillId="11" borderId="1" applyAlignment="1" pivotButton="0" quotePrefix="0" xfId="0">
      <alignment horizontal="center" vertical="center" wrapText="1"/>
    </xf>
    <xf numFmtId="166" fontId="4" fillId="4" borderId="1" applyAlignment="1" pivotButton="0" quotePrefix="0" xfId="0">
      <alignment horizontal="center" vertical="center" wrapText="1"/>
    </xf>
    <xf numFmtId="49" fontId="4" fillId="4" borderId="1" applyAlignment="1" pivotButton="0" quotePrefix="0" xfId="0">
      <alignment horizontal="center" vertical="center" wrapText="1"/>
    </xf>
    <xf numFmtId="49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65" customWidth="1" min="2" max="2"/>
  </cols>
  <sheetData>
    <row r="1" ht="32" customHeight="1">
      <c r="A1" s="1" t="inlineStr">
        <is>
          <t>SIVAR DOGS — GUÍA DE USO DEL SISTEMA</t>
        </is>
      </c>
    </row>
    <row r="2" ht="18" customHeight="1">
      <c r="A2" s="2" t="inlineStr"/>
      <c r="B2" s="2" t="inlineStr"/>
    </row>
    <row r="3" ht="18" customHeight="1">
      <c r="A3" s="3" t="inlineStr">
        <is>
          <t>CONVENCIÓN DE COLORES</t>
        </is>
      </c>
      <c r="B3" s="4" t="inlineStr"/>
    </row>
    <row r="4" ht="18" customHeight="1">
      <c r="A4" s="2" t="inlineStr">
        <is>
          <t>Azul (texto)</t>
        </is>
      </c>
      <c r="B4" s="2" t="inlineStr">
        <is>
          <t>Celda de INPUT — aquí ingresas los datos del día</t>
        </is>
      </c>
    </row>
    <row r="5" ht="18" customHeight="1">
      <c r="A5" s="5" t="inlineStr">
        <is>
          <t>Negro (texto)</t>
        </is>
      </c>
      <c r="B5" s="5" t="inlineStr">
        <is>
          <t>Fórmula automática — no modificar</t>
        </is>
      </c>
    </row>
    <row r="6" ht="18" customHeight="1">
      <c r="A6" s="2" t="inlineStr">
        <is>
          <t>Verde (texto)</t>
        </is>
      </c>
      <c r="B6" s="2" t="inlineStr">
        <is>
          <t>Referencia a otra hoja — no modificar</t>
        </is>
      </c>
    </row>
    <row r="7" ht="18" customHeight="1">
      <c r="A7" s="5" t="inlineStr"/>
      <c r="B7" s="5" t="inlineStr"/>
    </row>
    <row r="8" ht="18" customHeight="1">
      <c r="A8" s="3" t="inlineStr">
        <is>
          <t>FLUJO DIARIO DE USO</t>
        </is>
      </c>
      <c r="B8" s="4" t="inlineStr"/>
    </row>
    <row r="9" ht="18" customHeight="1">
      <c r="A9" s="5" t="inlineStr">
        <is>
          <t>1. Abrir CIERRE_DIARIO</t>
        </is>
      </c>
      <c r="B9" s="5" t="inlineStr">
        <is>
          <t>Cambiar la fecha en C4</t>
        </is>
      </c>
    </row>
    <row r="10" ht="18" customHeight="1">
      <c r="A10" s="2" t="inlineStr">
        <is>
          <t>2. Sección 1 — Inventario</t>
        </is>
      </c>
      <c r="B10" s="2" t="inlineStr">
        <is>
          <t>Ingresar: Inicio, Compras, Cortesías, Pérdida, Sobra de cada producto</t>
        </is>
      </c>
    </row>
    <row r="11" ht="18" customHeight="1">
      <c r="A11" s="5" t="inlineStr">
        <is>
          <t>3. Sección 2 — Tickets</t>
        </is>
      </c>
      <c r="B11" s="5" t="inlineStr">
        <is>
          <t>Ingresar cantidad ticketeada de cada producto</t>
        </is>
      </c>
    </row>
    <row r="12" ht="18" customHeight="1">
      <c r="A12" s="2" t="inlineStr">
        <is>
          <t>4. Sección 3 — Ingresos</t>
        </is>
      </c>
      <c r="B12" s="2" t="inlineStr">
        <is>
          <t>Ingresar: Corte Efectivo, POS, PeYa, Transferencia, cada Gasto con su descripción</t>
        </is>
      </c>
    </row>
    <row r="13" ht="18" customHeight="1">
      <c r="A13" s="5" t="inlineStr">
        <is>
          <t>5. Sección 3 — Caja</t>
        </is>
      </c>
      <c r="B13" s="5" t="inlineStr">
        <is>
          <t>Ingresar Vuelto Inicial (heredado de ayer) y Vuelto Final</t>
        </is>
      </c>
    </row>
    <row r="14" ht="18" customHeight="1">
      <c r="A14" s="2" t="inlineStr">
        <is>
          <t>6. Revisar KPIs</t>
        </is>
      </c>
      <c r="B14" s="2" t="inlineStr">
        <is>
          <t>Los 4 KPIs se calculan automáticamente — revisar semáforo de brecha</t>
        </is>
      </c>
    </row>
    <row r="15" ht="18" customHeight="1">
      <c r="A15" s="5" t="inlineStr">
        <is>
          <t>7. Copiar a BASE_DATOS</t>
        </is>
      </c>
      <c r="B15" s="5" t="inlineStr">
        <is>
          <t>Copiar los valores calculados a la hoja BASE_DATOS en la siguiente fila disponible</t>
        </is>
      </c>
    </row>
    <row r="16" ht="18" customHeight="1">
      <c r="A16" s="2" t="inlineStr"/>
      <c r="B16" s="2" t="inlineStr"/>
    </row>
    <row r="17" ht="18" customHeight="1">
      <c r="A17" s="3" t="inlineStr">
        <is>
          <t>REGLAS CRÍTICAS</t>
        </is>
      </c>
      <c r="B17" s="4" t="inlineStr"/>
    </row>
    <row r="18" ht="18" customHeight="1">
      <c r="A18" s="2" t="inlineStr">
        <is>
          <t>Pan = Salchicha</t>
        </is>
      </c>
      <c r="B18" s="2" t="inlineStr">
        <is>
          <t>Si difieren es hallazgo crítico — investigar antes de continuar</t>
        </is>
      </c>
    </row>
    <row r="19" ht="18" customHeight="1">
      <c r="A19" s="5" t="inlineStr">
        <is>
          <t>Lays confirma combos</t>
        </is>
      </c>
      <c r="B19" s="5" t="inlineStr">
        <is>
          <t>Si lays en inventario &lt; combos ticketeados, descartar combo sin lays (y su soda)</t>
        </is>
      </c>
    </row>
    <row r="20" ht="18" customHeight="1">
      <c r="A20" s="2" t="inlineStr">
        <is>
          <t>No ticketeados = Clásicos</t>
        </is>
      </c>
      <c r="B20" s="2" t="inlineStr">
        <is>
          <t>Asumir siempre clásico ($1.50) para auditoría. Precio ponderado solo para resumen mensual.</t>
        </is>
      </c>
    </row>
    <row r="21" ht="18" customHeight="1">
      <c r="A21" s="5" t="inlineStr">
        <is>
          <t>Sobrante también es alerta</t>
        </is>
      </c>
      <c r="B21" s="5" t="inlineStr">
        <is>
          <t>Un sobrante recurrente puede indicar autopréstamo. Registrar como Devolución.</t>
        </is>
      </c>
    </row>
    <row r="22" ht="18" customHeight="1">
      <c r="A22" s="2" t="inlineStr">
        <is>
          <t>Tag [REVISAR]</t>
        </is>
      </c>
      <c r="B22" s="2" t="inlineStr">
        <is>
          <t>Si falta un dato, asumir 0 y agregar [REVISAR] en la columna Notas para concilio posterior</t>
        </is>
      </c>
    </row>
    <row r="23" ht="18" customHeight="1">
      <c r="A23" s="5" t="inlineStr">
        <is>
          <t>Inicio del día</t>
        </is>
      </c>
      <c r="B23" s="5" t="inlineStr">
        <is>
          <t>Inicio de inventario = Sobra del día anterior. Vuelto inicial = Vuelto final del día anterior.</t>
        </is>
      </c>
    </row>
    <row r="24" ht="18" customHeight="1">
      <c r="A24" s="2" t="inlineStr"/>
      <c r="B24" s="2" t="inlineStr"/>
    </row>
    <row r="25" ht="18" customHeight="1">
      <c r="A25" s="3" t="inlineStr">
        <is>
          <t>SEMÁFORO DE BRECHA</t>
        </is>
      </c>
      <c r="B25" s="4" t="inlineStr"/>
    </row>
    <row r="26" ht="18" customHeight="1">
      <c r="A26" s="2" t="inlineStr">
        <is>
          <t>Sobrante $0-$5</t>
        </is>
      </c>
      <c r="B26" s="2" t="inlineStr">
        <is>
          <t>🟢 Verde — Día sano</t>
        </is>
      </c>
    </row>
    <row r="27" ht="18" customHeight="1">
      <c r="A27" s="5" t="inlineStr">
        <is>
          <t>Sobrante $5-$10</t>
        </is>
      </c>
      <c r="B27" s="5" t="inlineStr">
        <is>
          <t>🟡 Amarillo — Monitorear</t>
        </is>
      </c>
    </row>
    <row r="28" ht="18" customHeight="1">
      <c r="A28" s="2" t="inlineStr">
        <is>
          <t>Sobrante $10-$15</t>
        </is>
      </c>
      <c r="B28" s="2" t="inlineStr">
        <is>
          <t>🟠 Naranja — Revisar autopréstamo</t>
        </is>
      </c>
    </row>
    <row r="29" ht="18" customHeight="1">
      <c r="A29" s="5" t="inlineStr">
        <is>
          <t>Sobrante &gt;$15</t>
        </is>
      </c>
      <c r="B29" s="5" t="inlineStr">
        <is>
          <t>🔴 Rojo — Acción inmediata</t>
        </is>
      </c>
    </row>
    <row r="30" ht="18" customHeight="1">
      <c r="A30" s="2" t="inlineStr">
        <is>
          <t>Faltante $0-$5</t>
        </is>
      </c>
      <c r="B30" s="2" t="inlineStr">
        <is>
          <t>🟡 Amarillo — Revisar conteo (faltante siempre más grave)</t>
        </is>
      </c>
    </row>
    <row r="31" ht="18" customHeight="1">
      <c r="A31" s="5" t="inlineStr">
        <is>
          <t>Faltante $5-$10</t>
        </is>
      </c>
      <c r="B31" s="5" t="inlineStr">
        <is>
          <t>🟠 Naranja — Investigar causa</t>
        </is>
      </c>
    </row>
    <row r="32" ht="18" customHeight="1">
      <c r="A32" s="2" t="inlineStr">
        <is>
          <t>Faltante &gt;$10</t>
        </is>
      </c>
      <c r="B32" s="2" t="inlineStr">
        <is>
          <t>🔴 Rojo — Acción inmediata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8" customWidth="1" min="4" max="4"/>
    <col width="28" customWidth="1" min="5" max="5"/>
    <col width="18" customWidth="1" min="6" max="6"/>
    <col width="18" customWidth="1" min="7" max="7"/>
  </cols>
  <sheetData>
    <row r="1" ht="32" customHeight="1">
      <c r="A1" s="6" t="inlineStr">
        <is>
          <t>SIVAR DOGS — PARÁMETROS DEL SISTEMA</t>
        </is>
      </c>
    </row>
    <row r="2">
      <c r="A2" s="7" t="inlineStr">
        <is>
          <t>Parque San Martín · Santa Tecla, El Salvador — Hoja de referencia para todas las hojas del sistema</t>
        </is>
      </c>
    </row>
    <row r="4" ht="20" customHeight="1">
      <c r="A4" s="8" t="inlineStr">
        <is>
          <t>MENÚ Y PRECIOS</t>
        </is>
      </c>
      <c r="E4" s="8" t="inlineStr">
        <is>
          <t>EMPAQUES — UNIDADES</t>
        </is>
      </c>
    </row>
    <row r="5" ht="22" customHeight="1">
      <c r="A5" s="8" t="inlineStr">
        <is>
          <t>Producto</t>
        </is>
      </c>
      <c r="B5" s="8" t="inlineStr">
        <is>
          <t>Precio Venta</t>
        </is>
      </c>
      <c r="C5" s="8" t="inlineStr">
        <is>
          <t>Tipo</t>
        </is>
      </c>
      <c r="E5" s="8" t="inlineStr">
        <is>
          <t>Insumo</t>
        </is>
      </c>
      <c r="F5" s="8" t="inlineStr">
        <is>
          <t>Unidades/Envase</t>
        </is>
      </c>
      <c r="G5" s="8" t="inlineStr">
        <is>
          <t>Nota</t>
        </is>
      </c>
    </row>
    <row r="6">
      <c r="A6" s="9" t="inlineStr">
        <is>
          <t>Hotdog Clasico</t>
        </is>
      </c>
      <c r="B6" s="10" t="n">
        <v>1.5</v>
      </c>
      <c r="C6" s="11" t="inlineStr">
        <is>
          <t>Individual</t>
        </is>
      </c>
      <c r="E6" s="12" t="inlineStr">
        <is>
          <t>Pan Sanfran</t>
        </is>
      </c>
      <c r="F6" s="13" t="n">
        <v>12</v>
      </c>
      <c r="G6" s="12" t="inlineStr">
        <is>
          <t>Bolsa — Todos los HD excepto Basico</t>
        </is>
      </c>
    </row>
    <row r="7">
      <c r="A7" s="14" t="inlineStr">
        <is>
          <t>Hotdog Chilidog</t>
        </is>
      </c>
      <c r="B7" s="15" t="n">
        <v>2</v>
      </c>
      <c r="C7" s="16" t="inlineStr">
        <is>
          <t>Individual</t>
        </is>
      </c>
      <c r="E7" s="17" t="inlineStr">
        <is>
          <t>Pan Unica</t>
        </is>
      </c>
      <c r="F7" s="18" t="n">
        <v>10</v>
      </c>
      <c r="G7" s="17" t="inlineStr">
        <is>
          <t>Bolsa — Solo Hotdog Basico</t>
        </is>
      </c>
    </row>
    <row r="8">
      <c r="A8" s="9" t="inlineStr">
        <is>
          <t>Hotdog Chickedog</t>
        </is>
      </c>
      <c r="B8" s="10" t="n">
        <v>2</v>
      </c>
      <c r="C8" s="11" t="inlineStr">
        <is>
          <t>Individual</t>
        </is>
      </c>
      <c r="E8" s="12" t="inlineStr">
        <is>
          <t>Salchicha Jumbo</t>
        </is>
      </c>
      <c r="F8" s="13" t="n">
        <v>16</v>
      </c>
      <c r="G8" s="12" t="inlineStr">
        <is>
          <t>Paquete — Todos excepto Basico</t>
        </is>
      </c>
    </row>
    <row r="9">
      <c r="A9" s="14" t="inlineStr">
        <is>
          <t>Hotdog Basico</t>
        </is>
      </c>
      <c r="B9" s="15" t="n">
        <v>1</v>
      </c>
      <c r="C9" s="16" t="inlineStr">
        <is>
          <t>Individual</t>
        </is>
      </c>
      <c r="E9" s="17" t="inlineStr">
        <is>
          <t>Salchicha Mini Jumbo</t>
        </is>
      </c>
      <c r="F9" s="18" t="n">
        <v>24</v>
      </c>
      <c r="G9" s="17" t="inlineStr">
        <is>
          <t>Paquete — Solo Hotdog Basico</t>
        </is>
      </c>
    </row>
    <row r="10">
      <c r="A10" s="9" t="inlineStr">
        <is>
          <t>Combo Clasico</t>
        </is>
      </c>
      <c r="B10" s="10" t="n">
        <v>2.75</v>
      </c>
      <c r="C10" s="11" t="inlineStr">
        <is>
          <t>Combo</t>
        </is>
      </c>
    </row>
    <row r="11">
      <c r="A11" s="14" t="inlineStr">
        <is>
          <t>Combo Especialidad</t>
        </is>
      </c>
      <c r="B11" s="15" t="n">
        <v>3.25</v>
      </c>
      <c r="C11" s="16" t="inlineStr">
        <is>
          <t>Combo</t>
        </is>
      </c>
    </row>
    <row r="12">
      <c r="A12" s="9" t="inlineStr">
        <is>
          <t>Soda / Bebida Lata</t>
        </is>
      </c>
      <c r="B12" s="10" t="n">
        <v>1</v>
      </c>
      <c r="C12" s="11" t="inlineStr">
        <is>
          <t>Bebida</t>
        </is>
      </c>
    </row>
    <row r="13">
      <c r="A13" s="14" t="inlineStr">
        <is>
          <t>Lays Individual</t>
        </is>
      </c>
      <c r="B13" s="15" t="n">
        <v>0.5</v>
      </c>
      <c r="C13" s="16" t="inlineStr">
        <is>
          <t>Snack</t>
        </is>
      </c>
    </row>
    <row r="14">
      <c r="A14" s="9" t="inlineStr">
        <is>
          <t>Lays en Combo</t>
        </is>
      </c>
      <c r="B14" s="10" t="n">
        <v>0.25</v>
      </c>
      <c r="C14" s="11" t="inlineStr">
        <is>
          <t>Snack</t>
        </is>
      </c>
    </row>
    <row r="15">
      <c r="A15" s="14" t="inlineStr">
        <is>
          <t>Flanes</t>
        </is>
      </c>
      <c r="B15" s="15" t="n">
        <v>0.65</v>
      </c>
      <c r="C15" s="16" t="inlineStr">
        <is>
          <t>Snack</t>
        </is>
      </c>
    </row>
    <row r="16">
      <c r="A16" s="9" t="inlineStr">
        <is>
          <t>Alitas</t>
        </is>
      </c>
      <c r="B16" s="10" t="n">
        <v>4</v>
      </c>
      <c r="C16" s="11" t="inlineStr">
        <is>
          <t>Otro</t>
        </is>
      </c>
    </row>
    <row r="17">
      <c r="A17" s="14" t="inlineStr">
        <is>
          <t>Chunks</t>
        </is>
      </c>
      <c r="B17" s="15" t="n">
        <v>4</v>
      </c>
      <c r="C17" s="16" t="inlineStr">
        <is>
          <t>Otro</t>
        </is>
      </c>
    </row>
    <row r="21" ht="20" customHeight="1">
      <c r="A21" s="19" t="inlineStr">
        <is>
          <t>RECETAS POR PRODUCTO</t>
        </is>
      </c>
      <c r="E21" s="19" t="inlineStr">
        <is>
          <t>SEMÁFORO DE BRECHA</t>
        </is>
      </c>
    </row>
    <row r="22" ht="22" customHeight="1">
      <c r="A22" s="19" t="inlineStr">
        <is>
          <t>Producto</t>
        </is>
      </c>
      <c r="B22" s="19" t="inlineStr">
        <is>
          <t>Pan</t>
        </is>
      </c>
      <c r="C22" s="19" t="inlineStr">
        <is>
          <t>Salchicha</t>
        </is>
      </c>
      <c r="E22" s="19" t="inlineStr">
        <is>
          <t>Tipo</t>
        </is>
      </c>
      <c r="F22" s="19" t="inlineStr">
        <is>
          <t>Rango $</t>
        </is>
      </c>
      <c r="G22" s="19" t="inlineStr">
        <is>
          <t>Estado</t>
        </is>
      </c>
    </row>
    <row r="23">
      <c r="A23" s="12" t="inlineStr">
        <is>
          <t>Hotdog Clasico</t>
        </is>
      </c>
      <c r="B23" s="12" t="inlineStr">
        <is>
          <t>Pan Sanfran</t>
        </is>
      </c>
      <c r="C23" s="12" t="inlineStr">
        <is>
          <t>Salchicha Jumbo</t>
        </is>
      </c>
      <c r="E23" s="20" t="inlineStr">
        <is>
          <t>Sobrante (+)</t>
        </is>
      </c>
      <c r="F23" s="20" t="inlineStr">
        <is>
          <t>$0 — $5</t>
        </is>
      </c>
      <c r="G23" s="21" t="inlineStr">
        <is>
          <t>VERDE</t>
        </is>
      </c>
    </row>
    <row r="24">
      <c r="A24" s="17" t="inlineStr">
        <is>
          <t>Hotdog Chilidog</t>
        </is>
      </c>
      <c r="B24" s="17" t="inlineStr">
        <is>
          <t>Pan Sanfran</t>
        </is>
      </c>
      <c r="C24" s="17" t="inlineStr">
        <is>
          <t>Salchicha Jumbo</t>
        </is>
      </c>
      <c r="E24" s="22" t="inlineStr">
        <is>
          <t>Sobrante (+)</t>
        </is>
      </c>
      <c r="F24" s="22" t="inlineStr">
        <is>
          <t>$5 — $10</t>
        </is>
      </c>
      <c r="G24" s="23" t="inlineStr">
        <is>
          <t>AMARILLO</t>
        </is>
      </c>
    </row>
    <row r="25">
      <c r="A25" s="12" t="inlineStr">
        <is>
          <t>Hotdog Chickedog</t>
        </is>
      </c>
      <c r="B25" s="12" t="inlineStr">
        <is>
          <t>Pan Sanfran</t>
        </is>
      </c>
      <c r="C25" s="12" t="inlineStr">
        <is>
          <t>Salchicha Jumbo</t>
        </is>
      </c>
      <c r="E25" s="24" t="inlineStr">
        <is>
          <t>Sobrante (+)</t>
        </is>
      </c>
      <c r="F25" s="24" t="inlineStr">
        <is>
          <t>$10 — $15</t>
        </is>
      </c>
      <c r="G25" s="25" t="inlineStr">
        <is>
          <t>NARANJA</t>
        </is>
      </c>
    </row>
    <row r="26">
      <c r="A26" s="17" t="inlineStr">
        <is>
          <t>Hotdog Basico</t>
        </is>
      </c>
      <c r="B26" s="17" t="inlineStr">
        <is>
          <t>Pan Unica</t>
        </is>
      </c>
      <c r="C26" s="17" t="inlineStr">
        <is>
          <t>Salchicha Mini Jumbo</t>
        </is>
      </c>
      <c r="E26" s="26" t="inlineStr">
        <is>
          <t>Sobrante (+)</t>
        </is>
      </c>
      <c r="F26" s="26" t="inlineStr">
        <is>
          <t>&gt; $15</t>
        </is>
      </c>
      <c r="G26" s="27" t="inlineStr">
        <is>
          <t>ROJO</t>
        </is>
      </c>
    </row>
    <row r="27">
      <c r="A27" s="12" t="inlineStr">
        <is>
          <t>Combo Clasico</t>
        </is>
      </c>
      <c r="B27" s="12" t="inlineStr">
        <is>
          <t>Pan Sanfran</t>
        </is>
      </c>
      <c r="C27" s="12" t="inlineStr">
        <is>
          <t>Salchicha Jumbo</t>
        </is>
      </c>
      <c r="E27" s="22" t="inlineStr">
        <is>
          <t>Faltante (-)</t>
        </is>
      </c>
      <c r="F27" s="22" t="inlineStr">
        <is>
          <t>$0 — $5</t>
        </is>
      </c>
      <c r="G27" s="23" t="inlineStr">
        <is>
          <t>AMARILLO</t>
        </is>
      </c>
    </row>
    <row r="28">
      <c r="A28" s="17" t="inlineStr">
        <is>
          <t>Combo Especialidad</t>
        </is>
      </c>
      <c r="B28" s="17" t="inlineStr">
        <is>
          <t>Pan Sanfran</t>
        </is>
      </c>
      <c r="C28" s="17" t="inlineStr">
        <is>
          <t>Salchicha Jumbo</t>
        </is>
      </c>
      <c r="E28" s="24" t="inlineStr">
        <is>
          <t>Faltante (-)</t>
        </is>
      </c>
      <c r="F28" s="24" t="inlineStr">
        <is>
          <t>$5 — $10</t>
        </is>
      </c>
      <c r="G28" s="25" t="inlineStr">
        <is>
          <t>NARANJA</t>
        </is>
      </c>
    </row>
    <row r="29">
      <c r="E29" s="26" t="inlineStr">
        <is>
          <t>Faltante (-)</t>
        </is>
      </c>
      <c r="F29" s="26" t="inlineStr">
        <is>
          <t>&gt; $10</t>
        </is>
      </c>
      <c r="G29" s="27" t="inlineStr">
        <is>
          <t>ROJO</t>
        </is>
      </c>
    </row>
    <row r="31" ht="20" customHeight="1">
      <c r="A31" s="19" t="inlineStr">
        <is>
          <t>CONFIGURACIÓN CAJA BASE</t>
        </is>
      </c>
    </row>
    <row r="32">
      <c r="A32" s="28" t="inlineStr">
        <is>
          <t>Caja Base Ideal ($)</t>
        </is>
      </c>
      <c r="B32" s="29" t="n">
        <v>45</v>
      </c>
      <c r="C32" s="30" t="inlineStr">
        <is>
          <t>Modificar aquí si cambia el fondo</t>
        </is>
      </c>
    </row>
    <row r="34">
      <c r="A34" s="31" t="inlineStr">
        <is>
          <t>NOTA:</t>
        </is>
      </c>
      <c r="B34" s="32" t="inlineStr">
        <is>
          <t>Todas las hojas referencian estos parámetros. No modificar estructura de celdas.</t>
        </is>
      </c>
    </row>
  </sheetData>
  <mergeCells count="8">
    <mergeCell ref="B34:G34"/>
    <mergeCell ref="A1:G1"/>
    <mergeCell ref="A31:C31"/>
    <mergeCell ref="A2:G2"/>
    <mergeCell ref="E4:G4"/>
    <mergeCell ref="A21:C21"/>
    <mergeCell ref="E21:G21"/>
    <mergeCell ref="A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4" customWidth="1" min="9" max="9"/>
    <col width="18" customWidth="1" min="10" max="10"/>
  </cols>
  <sheetData>
    <row r="1" ht="32" customHeight="1">
      <c r="A1" s="6" t="inlineStr">
        <is>
          <t>SIVAR DOGS — CIERRE DIARIO</t>
        </is>
      </c>
    </row>
    <row r="2">
      <c r="A2" s="7" t="inlineStr">
        <is>
          <t>Parque San Martín · Santa Tecla · Ingrese los datos del corte en las celdas AZULES</t>
        </is>
      </c>
    </row>
    <row r="4" ht="20" customHeight="1">
      <c r="A4" s="28" t="inlineStr">
        <is>
          <t>Fecha:</t>
        </is>
      </c>
      <c r="C4" s="33" t="n">
        <v>46100</v>
      </c>
      <c r="D4" s="28" t="inlineStr">
        <is>
          <t>Día:</t>
        </is>
      </c>
      <c r="E4" s="34">
        <f>TEXT(C4,"DDDD")</f>
        <v/>
      </c>
      <c r="G4" s="28" t="inlineStr">
        <is>
          <t>Vendedora:</t>
        </is>
      </c>
      <c r="H4" s="35" t="inlineStr">
        <is>
          <t>Vilma Luna</t>
        </is>
      </c>
    </row>
    <row r="6" ht="20" customHeight="1">
      <c r="A6" s="36" t="inlineStr">
        <is>
          <t>1. CONTROL DE INVENTARIO</t>
        </is>
      </c>
    </row>
    <row r="7" ht="22" customHeight="1">
      <c r="A7" s="19" t="inlineStr">
        <is>
          <t>Producto</t>
        </is>
      </c>
      <c r="B7" s="19" t="inlineStr">
        <is>
          <t>Inicio</t>
        </is>
      </c>
      <c r="C7" s="19" t="inlineStr">
        <is>
          <t>Compras</t>
        </is>
      </c>
      <c r="D7" s="19" t="inlineStr">
        <is>
          <t>Disponible</t>
        </is>
      </c>
      <c r="E7" s="19" t="inlineStr">
        <is>
          <t>Cortesías</t>
        </is>
      </c>
      <c r="F7" s="19" t="inlineStr">
        <is>
          <t>Pérdida</t>
        </is>
      </c>
      <c r="G7" s="19" t="inlineStr">
        <is>
          <t>Sobra</t>
        </is>
      </c>
      <c r="H7" s="19" t="inlineStr">
        <is>
          <t>VENDIDO</t>
        </is>
      </c>
      <c r="I7" s="19" t="inlineStr">
        <is>
          <t>Vendido $</t>
        </is>
      </c>
      <c r="J7" s="19" t="inlineStr">
        <is>
          <t>Notas</t>
        </is>
      </c>
    </row>
    <row r="8" ht="18" customHeight="1">
      <c r="A8" s="12" t="inlineStr">
        <is>
          <t>Pan Sanfran</t>
        </is>
      </c>
      <c r="B8" s="37" t="n">
        <v>0</v>
      </c>
      <c r="C8" s="37" t="n">
        <v>0</v>
      </c>
      <c r="D8" s="13">
        <f>B8+C8</f>
        <v/>
      </c>
      <c r="E8" s="37" t="n">
        <v>0</v>
      </c>
      <c r="F8" s="37" t="n">
        <v>0</v>
      </c>
      <c r="G8" s="37" t="n">
        <v>0</v>
      </c>
      <c r="H8" s="38">
        <f>D8-E8-F8-G8</f>
        <v/>
      </c>
      <c r="I8" s="39" t="inlineStr">
        <is>
          <t>—</t>
        </is>
      </c>
      <c r="J8" s="40" t="inlineStr"/>
    </row>
    <row r="9" ht="18" customHeight="1">
      <c r="A9" s="17" t="inlineStr">
        <is>
          <t>Pan Unica</t>
        </is>
      </c>
      <c r="B9" s="37" t="n">
        <v>0</v>
      </c>
      <c r="C9" s="37" t="n">
        <v>0</v>
      </c>
      <c r="D9" s="18">
        <f>B9+C9</f>
        <v/>
      </c>
      <c r="E9" s="37" t="n">
        <v>0</v>
      </c>
      <c r="F9" s="37" t="n">
        <v>0</v>
      </c>
      <c r="G9" s="37" t="n">
        <v>0</v>
      </c>
      <c r="H9" s="41">
        <f>D9-E9-F9-G9</f>
        <v/>
      </c>
      <c r="I9" s="42" t="inlineStr">
        <is>
          <t>—</t>
        </is>
      </c>
      <c r="J9" s="43" t="inlineStr"/>
    </row>
    <row r="10" ht="18" customHeight="1">
      <c r="A10" s="12" t="inlineStr">
        <is>
          <t>Salchicha Jumbo</t>
        </is>
      </c>
      <c r="B10" s="37" t="n">
        <v>0</v>
      </c>
      <c r="C10" s="37" t="n">
        <v>0</v>
      </c>
      <c r="D10" s="13">
        <f>B10+C10</f>
        <v/>
      </c>
      <c r="E10" s="37" t="n">
        <v>0</v>
      </c>
      <c r="F10" s="37" t="n">
        <v>0</v>
      </c>
      <c r="G10" s="37" t="n">
        <v>0</v>
      </c>
      <c r="H10" s="38">
        <f>D10-E10-F10-G10</f>
        <v/>
      </c>
      <c r="I10" s="39" t="inlineStr">
        <is>
          <t>—</t>
        </is>
      </c>
      <c r="J10" s="40" t="inlineStr"/>
    </row>
    <row r="11" ht="18" customHeight="1">
      <c r="A11" s="17" t="inlineStr">
        <is>
          <t>Salchicha Mini Jumbo</t>
        </is>
      </c>
      <c r="B11" s="37" t="n">
        <v>0</v>
      </c>
      <c r="C11" s="37" t="n">
        <v>0</v>
      </c>
      <c r="D11" s="18">
        <f>B11+C11</f>
        <v/>
      </c>
      <c r="E11" s="37" t="n">
        <v>0</v>
      </c>
      <c r="F11" s="37" t="n">
        <v>0</v>
      </c>
      <c r="G11" s="37" t="n">
        <v>0</v>
      </c>
      <c r="H11" s="41">
        <f>D11-E11-F11-G11</f>
        <v/>
      </c>
      <c r="I11" s="42" t="inlineStr">
        <is>
          <t>—</t>
        </is>
      </c>
      <c r="J11" s="43" t="inlineStr"/>
    </row>
    <row r="12" ht="18" customHeight="1">
      <c r="A12" s="44" t="inlineStr">
        <is>
          <t>HOTDOGS TOTAL</t>
        </is>
      </c>
      <c r="B12" s="45" t="inlineStr">
        <is>
          <t>—</t>
        </is>
      </c>
      <c r="C12" s="45" t="inlineStr">
        <is>
          <t>—</t>
        </is>
      </c>
      <c r="D12" s="45" t="inlineStr">
        <is>
          <t>—</t>
        </is>
      </c>
      <c r="E12" s="45" t="inlineStr">
        <is>
          <t>—</t>
        </is>
      </c>
      <c r="F12" s="45" t="inlineStr">
        <is>
          <t>—</t>
        </is>
      </c>
      <c r="G12" s="45" t="inlineStr">
        <is>
          <t>—</t>
        </is>
      </c>
      <c r="H12" s="46">
        <f>H10</f>
        <v/>
      </c>
      <c r="I12" s="45" t="inlineStr">
        <is>
          <t>—</t>
        </is>
      </c>
      <c r="J12" s="47" t="inlineStr">
        <is>
          <t>Verdad base = Salchicha Jumbo</t>
        </is>
      </c>
    </row>
    <row r="13" ht="18" customHeight="1">
      <c r="A13" s="17" t="inlineStr">
        <is>
          <t>Sodas</t>
        </is>
      </c>
      <c r="B13" s="37" t="n">
        <v>0</v>
      </c>
      <c r="C13" s="37" t="n">
        <v>0</v>
      </c>
      <c r="D13" s="18">
        <f>B13+C13</f>
        <v/>
      </c>
      <c r="E13" s="37" t="n">
        <v>0</v>
      </c>
      <c r="F13" s="37" t="n">
        <v>0</v>
      </c>
      <c r="G13" s="37" t="n">
        <v>0</v>
      </c>
      <c r="H13" s="41">
        <f>D13-E13-F13-G13</f>
        <v/>
      </c>
      <c r="I13" s="15">
        <f>H13*PARAMETROS!B9</f>
        <v/>
      </c>
      <c r="J13" s="43" t="inlineStr"/>
    </row>
    <row r="14" ht="18" customHeight="1">
      <c r="A14" s="12" t="inlineStr">
        <is>
          <t>Lays</t>
        </is>
      </c>
      <c r="B14" s="37" t="n">
        <v>0</v>
      </c>
      <c r="C14" s="37" t="n">
        <v>0</v>
      </c>
      <c r="D14" s="13">
        <f>B14+C14</f>
        <v/>
      </c>
      <c r="E14" s="37" t="n">
        <v>0</v>
      </c>
      <c r="F14" s="37" t="n">
        <v>0</v>
      </c>
      <c r="G14" s="37" t="n">
        <v>0</v>
      </c>
      <c r="H14" s="38">
        <f>D14-E14-F14-G14</f>
        <v/>
      </c>
      <c r="I14" s="10">
        <f>H14*PARAMETROS!B9</f>
        <v/>
      </c>
      <c r="J14" s="40" t="inlineStr"/>
    </row>
    <row r="15" ht="18" customHeight="1">
      <c r="A15" s="17" t="inlineStr">
        <is>
          <t>Alitas</t>
        </is>
      </c>
      <c r="B15" s="37" t="n">
        <v>0</v>
      </c>
      <c r="C15" s="37" t="n">
        <v>0</v>
      </c>
      <c r="D15" s="18">
        <f>B15+C15</f>
        <v/>
      </c>
      <c r="E15" s="37" t="n">
        <v>0</v>
      </c>
      <c r="F15" s="37" t="n">
        <v>0</v>
      </c>
      <c r="G15" s="37" t="n">
        <v>0</v>
      </c>
      <c r="H15" s="41">
        <f>D15-E15-F15-G15</f>
        <v/>
      </c>
      <c r="I15" s="15">
        <f>H15*PARAMETROS!B11</f>
        <v/>
      </c>
      <c r="J15" s="43" t="inlineStr"/>
    </row>
    <row r="16" ht="18" customHeight="1">
      <c r="A16" s="12" t="inlineStr">
        <is>
          <t>Chunks</t>
        </is>
      </c>
      <c r="B16" s="37" t="n">
        <v>0</v>
      </c>
      <c r="C16" s="37" t="n">
        <v>0</v>
      </c>
      <c r="D16" s="13">
        <f>B16+C16</f>
        <v/>
      </c>
      <c r="E16" s="37" t="n">
        <v>0</v>
      </c>
      <c r="F16" s="37" t="n">
        <v>0</v>
      </c>
      <c r="G16" s="37" t="n">
        <v>0</v>
      </c>
      <c r="H16" s="38">
        <f>D16-E16-F16-G16</f>
        <v/>
      </c>
      <c r="I16" s="10">
        <f>H16*PARAMETROS!B12</f>
        <v/>
      </c>
      <c r="J16" s="40" t="inlineStr"/>
    </row>
    <row r="17" ht="18" customHeight="1">
      <c r="A17" s="17" t="inlineStr">
        <is>
          <t>Flanes</t>
        </is>
      </c>
      <c r="B17" s="37" t="n">
        <v>0</v>
      </c>
      <c r="C17" s="37" t="n">
        <v>0</v>
      </c>
      <c r="D17" s="18">
        <f>B17+C17</f>
        <v/>
      </c>
      <c r="E17" s="37" t="n">
        <v>0</v>
      </c>
      <c r="F17" s="37" t="n">
        <v>0</v>
      </c>
      <c r="G17" s="37" t="n">
        <v>0</v>
      </c>
      <c r="H17" s="41">
        <f>D17-E17-F17-G17</f>
        <v/>
      </c>
      <c r="I17" s="15">
        <f>H17*PARAMETROS!B10</f>
        <v/>
      </c>
      <c r="J17" s="43" t="inlineStr"/>
    </row>
    <row r="18" ht="18" customHeight="1">
      <c r="A18" s="12" t="inlineStr">
        <is>
          <t>Aguas</t>
        </is>
      </c>
      <c r="B18" s="37" t="n">
        <v>0</v>
      </c>
      <c r="C18" s="37" t="n">
        <v>0</v>
      </c>
      <c r="D18" s="13">
        <f>B18+C18</f>
        <v/>
      </c>
      <c r="E18" s="37" t="n">
        <v>0</v>
      </c>
      <c r="F18" s="37" t="n">
        <v>0</v>
      </c>
      <c r="G18" s="37" t="n">
        <v>0</v>
      </c>
      <c r="H18" s="38">
        <f>D18-E18-F18-G18</f>
        <v/>
      </c>
      <c r="I18" s="39" t="inlineStr">
        <is>
          <t>—</t>
        </is>
      </c>
      <c r="J18" s="40" t="inlineStr"/>
    </row>
    <row r="19" ht="18" customHeight="1">
      <c r="A19" s="17" t="inlineStr">
        <is>
          <t>Jugos</t>
        </is>
      </c>
      <c r="B19" s="37" t="n">
        <v>0</v>
      </c>
      <c r="C19" s="37" t="n">
        <v>0</v>
      </c>
      <c r="D19" s="18">
        <f>B19+C19</f>
        <v/>
      </c>
      <c r="E19" s="37" t="n">
        <v>0</v>
      </c>
      <c r="F19" s="37" t="n">
        <v>0</v>
      </c>
      <c r="G19" s="37" t="n">
        <v>0</v>
      </c>
      <c r="H19" s="41">
        <f>D19-E19-F19-G19</f>
        <v/>
      </c>
      <c r="I19" s="42" t="inlineStr">
        <is>
          <t>—</t>
        </is>
      </c>
      <c r="J19" s="43" t="inlineStr"/>
    </row>
    <row r="20" ht="20" customHeight="1">
      <c r="A20" s="48" t="inlineStr">
        <is>
          <t>PAN vs SALCHICHA — Diferencia:</t>
        </is>
      </c>
      <c r="E20" s="49">
        <f>H8-H10</f>
        <v/>
      </c>
      <c r="F20" s="48">
        <f>IF(E20=0,"✓ CUADRA PERFECTO",IF(ABS(E20)&lt;=2,"⚠ Diferencia marginal — revisar conteo","🚨 HALLAZGO CRÍTICO — Investigar"))</f>
        <v/>
      </c>
    </row>
    <row r="22" ht="20" customHeight="1">
      <c r="A22" s="36" t="inlineStr">
        <is>
          <t>2. TICKETS REGISTRADOS</t>
        </is>
      </c>
    </row>
    <row r="23" ht="22" customHeight="1">
      <c r="A23" s="19" t="inlineStr">
        <is>
          <t>Producto</t>
        </is>
      </c>
      <c r="B23" s="19" t="inlineStr">
        <is>
          <t>Cantidad</t>
        </is>
      </c>
      <c r="C23" s="19" t="inlineStr">
        <is>
          <t>Precio Unit.</t>
        </is>
      </c>
      <c r="D23" s="19" t="inlineStr">
        <is>
          <t>Subtotal</t>
        </is>
      </c>
      <c r="E23" s="19" t="inlineStr">
        <is>
          <t>Tipo</t>
        </is>
      </c>
      <c r="F23" s="19" t="inlineStr">
        <is>
          <t>HD incl.</t>
        </is>
      </c>
      <c r="G23" s="19" t="inlineStr">
        <is>
          <t>Sodas incl.</t>
        </is>
      </c>
      <c r="H23" s="19" t="inlineStr">
        <is>
          <t>Lays incl.</t>
        </is>
      </c>
      <c r="I23" s="19" t="inlineStr">
        <is>
          <t>Origen</t>
        </is>
      </c>
      <c r="J23" s="19" t="inlineStr">
        <is>
          <t>Notas</t>
        </is>
      </c>
    </row>
    <row r="24" ht="18" customHeight="1">
      <c r="A24" s="9" t="inlineStr">
        <is>
          <t>Hotdog Clasico individual</t>
        </is>
      </c>
      <c r="B24" s="37" t="n">
        <v>0</v>
      </c>
      <c r="C24" s="50">
        <f>PARAMETROS!B1</f>
        <v/>
      </c>
      <c r="D24" s="10">
        <f>B24*C24</f>
        <v/>
      </c>
      <c r="E24" s="51" t="inlineStr">
        <is>
          <t>Individual</t>
        </is>
      </c>
      <c r="F24" s="11" t="n">
        <v>1</v>
      </c>
      <c r="G24" s="11" t="n">
        <v>0</v>
      </c>
      <c r="H24" s="11" t="n">
        <v>0</v>
      </c>
      <c r="I24" s="51" t="inlineStr">
        <is>
          <t>Ticket</t>
        </is>
      </c>
      <c r="J24" s="40" t="inlineStr"/>
    </row>
    <row r="25" ht="18" customHeight="1">
      <c r="A25" s="14" t="inlineStr">
        <is>
          <t>Hotdog Chilidog individual</t>
        </is>
      </c>
      <c r="B25" s="37" t="n">
        <v>0</v>
      </c>
      <c r="C25" s="52">
        <f>PARAMETROS!B2</f>
        <v/>
      </c>
      <c r="D25" s="15">
        <f>B25*C25</f>
        <v/>
      </c>
      <c r="E25" s="53" t="inlineStr">
        <is>
          <t>Individual</t>
        </is>
      </c>
      <c r="F25" s="16" t="n">
        <v>1</v>
      </c>
      <c r="G25" s="16" t="n">
        <v>0</v>
      </c>
      <c r="H25" s="16" t="n">
        <v>0</v>
      </c>
      <c r="I25" s="53" t="inlineStr">
        <is>
          <t>Ticket</t>
        </is>
      </c>
      <c r="J25" s="43" t="inlineStr"/>
    </row>
    <row r="26" ht="18" customHeight="1">
      <c r="A26" s="9" t="inlineStr">
        <is>
          <t>Hotdog Chickedog individual</t>
        </is>
      </c>
      <c r="B26" s="37" t="n">
        <v>0</v>
      </c>
      <c r="C26" s="50">
        <f>PARAMETROS!B3</f>
        <v/>
      </c>
      <c r="D26" s="10">
        <f>B26*C26</f>
        <v/>
      </c>
      <c r="E26" s="51" t="inlineStr">
        <is>
          <t>Individual</t>
        </is>
      </c>
      <c r="F26" s="11" t="n">
        <v>1</v>
      </c>
      <c r="G26" s="11" t="n">
        <v>0</v>
      </c>
      <c r="H26" s="11" t="n">
        <v>0</v>
      </c>
      <c r="I26" s="51" t="inlineStr">
        <is>
          <t>Ticket</t>
        </is>
      </c>
      <c r="J26" s="40" t="inlineStr"/>
    </row>
    <row r="27" ht="18" customHeight="1">
      <c r="A27" s="14" t="inlineStr">
        <is>
          <t>Combo Clasico</t>
        </is>
      </c>
      <c r="B27" s="37" t="n">
        <v>0</v>
      </c>
      <c r="C27" s="52">
        <f>PARAMETROS!B5</f>
        <v/>
      </c>
      <c r="D27" s="15">
        <f>B27*C27</f>
        <v/>
      </c>
      <c r="E27" s="53" t="inlineStr">
        <is>
          <t>Combo</t>
        </is>
      </c>
      <c r="F27" s="16" t="n">
        <v>1</v>
      </c>
      <c r="G27" s="16" t="n">
        <v>1</v>
      </c>
      <c r="H27" s="16" t="n">
        <v>1</v>
      </c>
      <c r="I27" s="53" t="inlineStr">
        <is>
          <t>Ticket</t>
        </is>
      </c>
      <c r="J27" s="43" t="inlineStr"/>
    </row>
    <row r="28" ht="18" customHeight="1">
      <c r="A28" s="9" t="inlineStr">
        <is>
          <t>Combo Especialidad</t>
        </is>
      </c>
      <c r="B28" s="37" t="n">
        <v>0</v>
      </c>
      <c r="C28" s="50">
        <f>PARAMETROS!B6</f>
        <v/>
      </c>
      <c r="D28" s="10">
        <f>B28*C28</f>
        <v/>
      </c>
      <c r="E28" s="51" t="inlineStr">
        <is>
          <t>Combo</t>
        </is>
      </c>
      <c r="F28" s="11" t="n">
        <v>1</v>
      </c>
      <c r="G28" s="11" t="n">
        <v>1</v>
      </c>
      <c r="H28" s="11" t="n">
        <v>1</v>
      </c>
      <c r="I28" s="51" t="inlineStr">
        <is>
          <t>Ticket</t>
        </is>
      </c>
      <c r="J28" s="40" t="inlineStr"/>
    </row>
    <row r="29" ht="18" customHeight="1">
      <c r="A29" s="14" t="inlineStr">
        <is>
          <t>Bebidas latas / Soda indiv.</t>
        </is>
      </c>
      <c r="B29" s="37" t="n">
        <v>0</v>
      </c>
      <c r="C29" s="52">
        <f>PARAMETROS!B7</f>
        <v/>
      </c>
      <c r="D29" s="15">
        <f>B29*C29</f>
        <v/>
      </c>
      <c r="E29" s="53" t="inlineStr">
        <is>
          <t>Bebida</t>
        </is>
      </c>
      <c r="F29" s="16" t="n">
        <v>0</v>
      </c>
      <c r="G29" s="16" t="n">
        <v>1</v>
      </c>
      <c r="H29" s="16" t="n">
        <v>0</v>
      </c>
      <c r="I29" s="53" t="inlineStr">
        <is>
          <t>Ticket</t>
        </is>
      </c>
      <c r="J29" s="43" t="inlineStr"/>
    </row>
    <row r="30" ht="18" customHeight="1">
      <c r="A30" s="9" t="inlineStr">
        <is>
          <t>Lays Individual</t>
        </is>
      </c>
      <c r="B30" s="37" t="n">
        <v>0</v>
      </c>
      <c r="C30" s="50">
        <f>PARAMETROS!B8</f>
        <v/>
      </c>
      <c r="D30" s="10">
        <f>B30*C30</f>
        <v/>
      </c>
      <c r="E30" s="51" t="inlineStr">
        <is>
          <t>Snack</t>
        </is>
      </c>
      <c r="F30" s="11" t="n">
        <v>0</v>
      </c>
      <c r="G30" s="11" t="n">
        <v>0</v>
      </c>
      <c r="H30" s="11" t="n">
        <v>1</v>
      </c>
      <c r="I30" s="51" t="inlineStr">
        <is>
          <t>Ticket</t>
        </is>
      </c>
      <c r="J30" s="40" t="inlineStr"/>
    </row>
    <row r="31" ht="18" customHeight="1">
      <c r="A31" s="14" t="inlineStr">
        <is>
          <t>Alitas</t>
        </is>
      </c>
      <c r="B31" s="37" t="n">
        <v>0</v>
      </c>
      <c r="C31" s="52">
        <f>PARAMETROS!B11</f>
        <v/>
      </c>
      <c r="D31" s="15">
        <f>B31*C31</f>
        <v/>
      </c>
      <c r="E31" s="53" t="inlineStr">
        <is>
          <t>Otro</t>
        </is>
      </c>
      <c r="F31" s="16" t="n">
        <v>0</v>
      </c>
      <c r="G31" s="16" t="n">
        <v>0</v>
      </c>
      <c r="H31" s="16" t="n">
        <v>0</v>
      </c>
      <c r="I31" s="53" t="inlineStr">
        <is>
          <t>Ticket</t>
        </is>
      </c>
      <c r="J31" s="43" t="inlineStr"/>
    </row>
    <row r="32" ht="18" customHeight="1">
      <c r="A32" s="9" t="inlineStr">
        <is>
          <t>Chunks</t>
        </is>
      </c>
      <c r="B32" s="37" t="n">
        <v>0</v>
      </c>
      <c r="C32" s="50">
        <f>PARAMETROS!B12</f>
        <v/>
      </c>
      <c r="D32" s="10">
        <f>B32*C32</f>
        <v/>
      </c>
      <c r="E32" s="51" t="inlineStr">
        <is>
          <t>Otro</t>
        </is>
      </c>
      <c r="F32" s="11" t="n">
        <v>0</v>
      </c>
      <c r="G32" s="11" t="n">
        <v>0</v>
      </c>
      <c r="H32" s="11" t="n">
        <v>0</v>
      </c>
      <c r="I32" s="51" t="inlineStr">
        <is>
          <t>Ticket</t>
        </is>
      </c>
      <c r="J32" s="40" t="inlineStr"/>
    </row>
    <row r="33" ht="18" customHeight="1">
      <c r="A33" s="14" t="inlineStr">
        <is>
          <t>Flanes</t>
        </is>
      </c>
      <c r="B33" s="37" t="n">
        <v>0</v>
      </c>
      <c r="C33" s="52">
        <f>PARAMETROS!B10</f>
        <v/>
      </c>
      <c r="D33" s="15">
        <f>B33*C33</f>
        <v/>
      </c>
      <c r="E33" s="53" t="inlineStr">
        <is>
          <t>Snack</t>
        </is>
      </c>
      <c r="F33" s="16" t="n">
        <v>0</v>
      </c>
      <c r="G33" s="16" t="n">
        <v>0</v>
      </c>
      <c r="H33" s="16" t="n">
        <v>0</v>
      </c>
      <c r="I33" s="53" t="inlineStr">
        <is>
          <t>Ticket</t>
        </is>
      </c>
      <c r="J33" s="43" t="inlineStr"/>
    </row>
    <row r="34" ht="20" customHeight="1">
      <c r="A34" s="54" t="inlineStr">
        <is>
          <t>TOTAL TICKET</t>
        </is>
      </c>
      <c r="B34" s="8">
        <f>SUM(B24:B33)</f>
        <v/>
      </c>
      <c r="C34" s="55" t="inlineStr"/>
      <c r="D34" s="56">
        <f>SUM(D24:D33)</f>
        <v/>
      </c>
      <c r="E34" s="55" t="inlineStr"/>
      <c r="F34" s="55" t="inlineStr"/>
      <c r="G34" s="55" t="inlineStr"/>
      <c r="H34" s="55" t="inlineStr"/>
      <c r="I34" s="55" t="inlineStr"/>
      <c r="J34" s="55" t="inlineStr"/>
    </row>
    <row r="36" ht="20" customHeight="1">
      <c r="A36" s="36" t="inlineStr">
        <is>
          <t>3. INGRESOS Y GASTOS DEL DÍA</t>
        </is>
      </c>
    </row>
    <row r="37" ht="18" customHeight="1">
      <c r="A37" s="8" t="inlineStr">
        <is>
          <t>INGRESOS</t>
        </is>
      </c>
      <c r="B37" s="8" t="inlineStr">
        <is>
          <t>Monto</t>
        </is>
      </c>
      <c r="C37" s="43" t="inlineStr"/>
      <c r="D37" s="36" t="inlineStr">
        <is>
          <t>GASTOS</t>
        </is>
      </c>
      <c r="E37" s="36" t="inlineStr">
        <is>
          <t>Monto</t>
        </is>
      </c>
      <c r="F37" s="36" t="inlineStr">
        <is>
          <t>Categoría</t>
        </is>
      </c>
      <c r="G37" s="43" t="inlineStr"/>
      <c r="H37" s="43" t="inlineStr"/>
      <c r="I37" s="43" t="inlineStr"/>
      <c r="J37" s="43" t="inlineStr"/>
    </row>
    <row r="38" ht="18" customHeight="1">
      <c r="A38" s="57" t="inlineStr">
        <is>
          <t>Corte Efectivo Total</t>
        </is>
      </c>
      <c r="B38" s="58" t="n">
        <v>0</v>
      </c>
      <c r="C38" s="40" t="inlineStr"/>
      <c r="D38" s="59" t="inlineStr">
        <is>
          <t>Gasto 1</t>
        </is>
      </c>
      <c r="E38" s="58" t="n">
        <v>0</v>
      </c>
      <c r="F38" s="60" t="inlineStr"/>
      <c r="G38" s="40" t="inlineStr"/>
      <c r="H38" s="40" t="inlineStr"/>
      <c r="I38" s="40" t="inlineStr"/>
      <c r="J38" s="40" t="inlineStr"/>
    </row>
    <row r="39" ht="18" customHeight="1">
      <c r="A39" s="14" t="inlineStr">
        <is>
          <t>POS</t>
        </is>
      </c>
      <c r="B39" s="58" t="n">
        <v>0</v>
      </c>
      <c r="C39" s="43" t="inlineStr"/>
      <c r="D39" s="59" t="inlineStr">
        <is>
          <t>Gasto 2</t>
        </is>
      </c>
      <c r="E39" s="58" t="n">
        <v>0</v>
      </c>
      <c r="F39" s="60" t="inlineStr"/>
      <c r="G39" s="43" t="inlineStr"/>
      <c r="H39" s="43" t="inlineStr"/>
      <c r="I39" s="43" t="inlineStr"/>
      <c r="J39" s="43" t="inlineStr"/>
    </row>
    <row r="40" ht="18" customHeight="1">
      <c r="A40" s="9" t="inlineStr">
        <is>
          <t>PedidosYa</t>
        </is>
      </c>
      <c r="B40" s="58" t="n">
        <v>0</v>
      </c>
      <c r="C40" s="40" t="inlineStr"/>
      <c r="D40" s="59" t="inlineStr">
        <is>
          <t>Gasto 3</t>
        </is>
      </c>
      <c r="E40" s="58" t="n">
        <v>0</v>
      </c>
      <c r="F40" s="60" t="inlineStr"/>
      <c r="G40" s="40" t="inlineStr"/>
      <c r="H40" s="40" t="inlineStr"/>
      <c r="I40" s="40" t="inlineStr"/>
      <c r="J40" s="40" t="inlineStr"/>
    </row>
    <row r="41" ht="18" customHeight="1">
      <c r="A41" s="14" t="inlineStr">
        <is>
          <t>Transferencia</t>
        </is>
      </c>
      <c r="B41" s="58" t="n">
        <v>0</v>
      </c>
      <c r="C41" s="43" t="inlineStr"/>
      <c r="D41" s="59" t="inlineStr">
        <is>
          <t>Gasto 4</t>
        </is>
      </c>
      <c r="E41" s="58" t="n">
        <v>0</v>
      </c>
      <c r="F41" s="60" t="inlineStr"/>
      <c r="G41" s="43" t="inlineStr"/>
      <c r="H41" s="43" t="inlineStr"/>
      <c r="I41" s="43" t="inlineStr"/>
      <c r="J41" s="43" t="inlineStr"/>
    </row>
    <row r="42" ht="18" customHeight="1">
      <c r="A42" s="40" t="inlineStr"/>
      <c r="B42" s="40" t="inlineStr"/>
      <c r="C42" s="40" t="inlineStr"/>
      <c r="D42" s="59" t="inlineStr">
        <is>
          <t>Gasto 5</t>
        </is>
      </c>
      <c r="E42" s="58" t="n">
        <v>0</v>
      </c>
      <c r="F42" s="60" t="inlineStr"/>
      <c r="G42" s="40" t="inlineStr"/>
      <c r="H42" s="40" t="inlineStr"/>
      <c r="I42" s="40" t="inlineStr"/>
      <c r="J42" s="40" t="inlineStr"/>
    </row>
    <row r="43" ht="18" customHeight="1">
      <c r="A43" s="43" t="inlineStr"/>
      <c r="B43" s="43" t="inlineStr"/>
      <c r="C43" s="43" t="inlineStr"/>
      <c r="D43" s="59" t="inlineStr">
        <is>
          <t>Gasto 6</t>
        </is>
      </c>
      <c r="E43" s="58" t="n">
        <v>0</v>
      </c>
      <c r="F43" s="60" t="inlineStr"/>
      <c r="G43" s="43" t="inlineStr"/>
      <c r="H43" s="43" t="inlineStr"/>
      <c r="I43" s="43" t="inlineStr"/>
      <c r="J43" s="43" t="inlineStr"/>
    </row>
    <row r="44" ht="18" customHeight="1">
      <c r="A44" s="40" t="inlineStr"/>
      <c r="B44" s="40" t="inlineStr"/>
      <c r="C44" s="40" t="inlineStr"/>
      <c r="D44" s="59" t="inlineStr">
        <is>
          <t>Gasto 7</t>
        </is>
      </c>
      <c r="E44" s="58" t="n">
        <v>0</v>
      </c>
      <c r="F44" s="60" t="inlineStr"/>
      <c r="G44" s="40" t="inlineStr"/>
      <c r="H44" s="40" t="inlineStr"/>
      <c r="I44" s="40" t="inlineStr"/>
      <c r="J44" s="40" t="inlineStr"/>
    </row>
    <row r="45" ht="18" customHeight="1">
      <c r="A45" s="43" t="inlineStr"/>
      <c r="B45" s="43" t="inlineStr"/>
      <c r="C45" s="43" t="inlineStr"/>
      <c r="D45" s="59" t="inlineStr">
        <is>
          <t>Gasto 8</t>
        </is>
      </c>
      <c r="E45" s="58" t="n">
        <v>0</v>
      </c>
      <c r="F45" s="60" t="inlineStr"/>
      <c r="G45" s="43" t="inlineStr"/>
      <c r="H45" s="43" t="inlineStr"/>
      <c r="I45" s="43" t="inlineStr"/>
      <c r="J45" s="43" t="inlineStr"/>
    </row>
    <row r="46" ht="20" customHeight="1">
      <c r="A46" s="61" t="inlineStr">
        <is>
          <t>Subtotal Ingresos</t>
        </is>
      </c>
      <c r="B46" s="62">
        <f>SUM(B38:B45)</f>
        <v/>
      </c>
      <c r="C46" s="63" t="inlineStr"/>
      <c r="D46" s="61" t="inlineStr">
        <is>
          <t>Total Gastos</t>
        </is>
      </c>
      <c r="E46" s="62">
        <f>SUM(E38:E45)</f>
        <v/>
      </c>
      <c r="F46" s="63" t="inlineStr"/>
      <c r="G46" s="63" t="inlineStr"/>
      <c r="H46" s="63" t="inlineStr"/>
      <c r="I46" s="63" t="inlineStr"/>
      <c r="J46" s="63" t="inlineStr"/>
    </row>
    <row r="47" ht="18" customHeight="1">
      <c r="A47" s="28" t="inlineStr">
        <is>
          <t>Vuelto Inicial (Caja inicio del día)</t>
        </is>
      </c>
      <c r="B47" s="64" t="n">
        <v>0</v>
      </c>
      <c r="C47" s="43" t="inlineStr"/>
      <c r="D47" s="43" t="inlineStr"/>
      <c r="E47" s="43" t="inlineStr"/>
      <c r="F47" s="43" t="inlineStr"/>
      <c r="G47" s="43" t="inlineStr"/>
      <c r="H47" s="43" t="inlineStr"/>
      <c r="I47" s="43" t="inlineStr"/>
      <c r="J47" s="43" t="inlineStr"/>
    </row>
    <row r="48" ht="18" customHeight="1">
      <c r="A48" s="28" t="inlineStr">
        <is>
          <t>Vuelto Final (Caja cierre del día)</t>
        </is>
      </c>
      <c r="B48" s="64" t="n">
        <v>0</v>
      </c>
      <c r="C48" s="43" t="inlineStr"/>
      <c r="D48" s="43" t="inlineStr"/>
      <c r="E48" s="43" t="inlineStr"/>
      <c r="F48" s="43" t="inlineStr"/>
      <c r="G48" s="43" t="inlineStr"/>
      <c r="H48" s="43" t="inlineStr"/>
      <c r="I48" s="43" t="inlineStr"/>
      <c r="J48" s="43" t="inlineStr"/>
    </row>
    <row r="49" ht="24" customHeight="1">
      <c r="A49" s="65" t="inlineStr">
        <is>
          <t>VENTA REAL DEL DÍA</t>
        </is>
      </c>
      <c r="B49" s="66">
        <f>B38+B39+B40+B41+E46-B47</f>
        <v/>
      </c>
      <c r="C49" s="67">
        <f>IF(B48&gt;0,"Vuelto final: $"&amp;TEXT(B48,"#,##0.00")&amp;" | Var: $"&amp;TEXT(B48-B47,"#,##0.00"),"")</f>
        <v/>
      </c>
      <c r="D49" s="68" t="n"/>
      <c r="E49" s="68" t="n"/>
      <c r="F49" s="68" t="n"/>
      <c r="G49" s="68" t="n"/>
      <c r="H49" s="68" t="n"/>
      <c r="I49" s="68" t="n"/>
      <c r="J49" s="69" t="n"/>
    </row>
    <row r="51" ht="20" customHeight="1">
      <c r="A51" s="36" t="inlineStr">
        <is>
          <t>4. CONCILIO FINAL — VENTA DECLARADA POR PRODUCTO</t>
        </is>
      </c>
    </row>
    <row r="52" ht="22" customHeight="1">
      <c r="A52" s="19" t="inlineStr">
        <is>
          <t>Producto</t>
        </is>
      </c>
      <c r="B52" s="19" t="inlineStr">
        <is>
          <t>Tipo</t>
        </is>
      </c>
      <c r="C52" s="19" t="inlineStr">
        <is>
          <t>Cantidad</t>
        </is>
      </c>
      <c r="D52" s="19" t="inlineStr">
        <is>
          <t>Precio Unit.</t>
        </is>
      </c>
      <c r="E52" s="19" t="inlineStr">
        <is>
          <t>Subtotal</t>
        </is>
      </c>
      <c r="F52" s="19" t="inlineStr">
        <is>
          <t>Origen</t>
        </is>
      </c>
      <c r="G52" s="19" t="inlineStr"/>
      <c r="H52" s="19" t="inlineStr"/>
      <c r="I52" s="19" t="inlineStr"/>
      <c r="J52" s="19" t="inlineStr">
        <is>
          <t>Notas</t>
        </is>
      </c>
    </row>
    <row r="53" ht="18" customHeight="1">
      <c r="A53" s="9" t="inlineStr">
        <is>
          <t>Hotdog Clasico individual</t>
        </is>
      </c>
      <c r="B53" s="51" t="inlineStr">
        <is>
          <t>Clasico</t>
        </is>
      </c>
      <c r="C53" s="70">
        <f>B24</f>
        <v/>
      </c>
      <c r="D53" s="50">
        <f>PARAMETROS!B1</f>
        <v/>
      </c>
      <c r="E53" s="71">
        <f>C53*D53</f>
        <v/>
      </c>
      <c r="F53" s="51" t="inlineStr">
        <is>
          <t>Ticket</t>
        </is>
      </c>
      <c r="G53" s="40" t="inlineStr"/>
      <c r="H53" s="40" t="inlineStr"/>
      <c r="I53" s="40" t="inlineStr"/>
      <c r="J53" s="40" t="inlineStr"/>
    </row>
    <row r="54" ht="18" customHeight="1">
      <c r="A54" s="14" t="inlineStr">
        <is>
          <t>Hotdog Chilidog individual</t>
        </is>
      </c>
      <c r="B54" s="53" t="inlineStr">
        <is>
          <t>Chilidog</t>
        </is>
      </c>
      <c r="C54" s="70">
        <f>B25</f>
        <v/>
      </c>
      <c r="D54" s="52">
        <f>PARAMETROS!B2</f>
        <v/>
      </c>
      <c r="E54" s="72">
        <f>C54*D54</f>
        <v/>
      </c>
      <c r="F54" s="53" t="inlineStr">
        <is>
          <t>Ticket</t>
        </is>
      </c>
      <c r="G54" s="43" t="inlineStr"/>
      <c r="H54" s="43" t="inlineStr"/>
      <c r="I54" s="43" t="inlineStr"/>
      <c r="J54" s="43" t="inlineStr"/>
    </row>
    <row r="55" ht="18" customHeight="1">
      <c r="A55" s="9" t="inlineStr">
        <is>
          <t>Hotdog Chickedog individual</t>
        </is>
      </c>
      <c r="B55" s="51" t="inlineStr">
        <is>
          <t>Chickedog</t>
        </is>
      </c>
      <c r="C55" s="70">
        <f>B26</f>
        <v/>
      </c>
      <c r="D55" s="50">
        <f>PARAMETROS!B3</f>
        <v/>
      </c>
      <c r="E55" s="71">
        <f>C55*D55</f>
        <v/>
      </c>
      <c r="F55" s="51" t="inlineStr">
        <is>
          <t>Ticket</t>
        </is>
      </c>
      <c r="G55" s="40" t="inlineStr"/>
      <c r="H55" s="40" t="inlineStr"/>
      <c r="I55" s="40" t="inlineStr"/>
      <c r="J55" s="40" t="inlineStr"/>
    </row>
    <row r="56" ht="18" customHeight="1">
      <c r="A56" s="14" t="inlineStr">
        <is>
          <t>Combo Clasico</t>
        </is>
      </c>
      <c r="B56" s="53" t="inlineStr">
        <is>
          <t>Clasico+S+L</t>
        </is>
      </c>
      <c r="C56" s="70">
        <f>B27</f>
        <v/>
      </c>
      <c r="D56" s="52">
        <f>PARAMETROS!B5</f>
        <v/>
      </c>
      <c r="E56" s="72">
        <f>C56*D56</f>
        <v/>
      </c>
      <c r="F56" s="53" t="inlineStr">
        <is>
          <t>Ticket</t>
        </is>
      </c>
      <c r="G56" s="43" t="inlineStr"/>
      <c r="H56" s="43" t="inlineStr"/>
      <c r="I56" s="43" t="inlineStr"/>
      <c r="J56" s="43" t="inlineStr"/>
    </row>
    <row r="57" ht="18" customHeight="1">
      <c r="A57" s="9" t="inlineStr">
        <is>
          <t>Combo Especialidad</t>
        </is>
      </c>
      <c r="B57" s="51" t="inlineStr">
        <is>
          <t>Chili/Chick+S+L</t>
        </is>
      </c>
      <c r="C57" s="70">
        <f>B28</f>
        <v/>
      </c>
      <c r="D57" s="50">
        <f>PARAMETROS!B6</f>
        <v/>
      </c>
      <c r="E57" s="71">
        <f>C57*D57</f>
        <v/>
      </c>
      <c r="F57" s="51" t="inlineStr">
        <is>
          <t>Ticket</t>
        </is>
      </c>
      <c r="G57" s="40" t="inlineStr"/>
      <c r="H57" s="40" t="inlineStr"/>
      <c r="I57" s="40" t="inlineStr"/>
      <c r="J57" s="40" t="inlineStr"/>
    </row>
    <row r="58" ht="18" customHeight="1">
      <c r="A58" s="14" t="inlineStr">
        <is>
          <t>Bebidas latas / Soda indiv.</t>
        </is>
      </c>
      <c r="B58" s="53" t="inlineStr">
        <is>
          <t>Soda</t>
        </is>
      </c>
      <c r="C58" s="70">
        <f>B29</f>
        <v/>
      </c>
      <c r="D58" s="52">
        <f>PARAMETROS!B7</f>
        <v/>
      </c>
      <c r="E58" s="72">
        <f>C58*D58</f>
        <v/>
      </c>
      <c r="F58" s="53" t="inlineStr">
        <is>
          <t>Ticket</t>
        </is>
      </c>
      <c r="G58" s="43" t="inlineStr"/>
      <c r="H58" s="43" t="inlineStr"/>
      <c r="I58" s="43" t="inlineStr"/>
      <c r="J58" s="43" t="inlineStr"/>
    </row>
    <row r="59" ht="18" customHeight="1">
      <c r="A59" s="9" t="inlineStr">
        <is>
          <t>Lays Individual</t>
        </is>
      </c>
      <c r="B59" s="51" t="inlineStr">
        <is>
          <t>Lays</t>
        </is>
      </c>
      <c r="C59" s="70">
        <f>B30</f>
        <v/>
      </c>
      <c r="D59" s="50">
        <f>PARAMETROS!B8</f>
        <v/>
      </c>
      <c r="E59" s="71">
        <f>C59*D59</f>
        <v/>
      </c>
      <c r="F59" s="51" t="inlineStr">
        <is>
          <t>Ticket</t>
        </is>
      </c>
      <c r="G59" s="40" t="inlineStr"/>
      <c r="H59" s="40" t="inlineStr"/>
      <c r="I59" s="40" t="inlineStr"/>
      <c r="J59" s="40" t="inlineStr"/>
    </row>
    <row r="60" ht="18" customHeight="1">
      <c r="A60" s="14" t="inlineStr">
        <is>
          <t>Alitas</t>
        </is>
      </c>
      <c r="B60" s="53" t="inlineStr">
        <is>
          <t>Otro</t>
        </is>
      </c>
      <c r="C60" s="70">
        <f>B31</f>
        <v/>
      </c>
      <c r="D60" s="52">
        <f>PARAMETROS!B11</f>
        <v/>
      </c>
      <c r="E60" s="72">
        <f>C60*D60</f>
        <v/>
      </c>
      <c r="F60" s="53" t="inlineStr">
        <is>
          <t>Ticket</t>
        </is>
      </c>
      <c r="G60" s="43" t="inlineStr"/>
      <c r="H60" s="43" t="inlineStr"/>
      <c r="I60" s="43" t="inlineStr"/>
      <c r="J60" s="43" t="inlineStr"/>
    </row>
    <row r="61" ht="18" customHeight="1">
      <c r="A61" s="9" t="inlineStr">
        <is>
          <t>Chunks</t>
        </is>
      </c>
      <c r="B61" s="51" t="inlineStr">
        <is>
          <t>Otro</t>
        </is>
      </c>
      <c r="C61" s="70">
        <f>B32</f>
        <v/>
      </c>
      <c r="D61" s="50">
        <f>PARAMETROS!B12</f>
        <v/>
      </c>
      <c r="E61" s="71">
        <f>C61*D61</f>
        <v/>
      </c>
      <c r="F61" s="51" t="inlineStr">
        <is>
          <t>Ticket</t>
        </is>
      </c>
      <c r="G61" s="40" t="inlineStr"/>
      <c r="H61" s="40" t="inlineStr"/>
      <c r="I61" s="40" t="inlineStr"/>
      <c r="J61" s="40" t="inlineStr"/>
    </row>
    <row r="62" ht="18" customHeight="1">
      <c r="A62" s="14" t="inlineStr">
        <is>
          <t>Flanes</t>
        </is>
      </c>
      <c r="B62" s="53" t="inlineStr">
        <is>
          <t>Snack</t>
        </is>
      </c>
      <c r="C62" s="70">
        <f>B33</f>
        <v/>
      </c>
      <c r="D62" s="52">
        <f>PARAMETROS!B10</f>
        <v/>
      </c>
      <c r="E62" s="72">
        <f>C62*D62</f>
        <v/>
      </c>
      <c r="F62" s="53" t="inlineStr">
        <is>
          <t>Ticket</t>
        </is>
      </c>
      <c r="G62" s="43" t="inlineStr"/>
      <c r="H62" s="43" t="inlineStr"/>
      <c r="I62" s="43" t="inlineStr"/>
      <c r="J62" s="43" t="inlineStr"/>
    </row>
    <row r="63" ht="20" customHeight="1">
      <c r="A63" s="73" t="inlineStr">
        <is>
          <t>SUBTOTAL TICKETEADO</t>
        </is>
      </c>
      <c r="B63" s="74" t="inlineStr"/>
      <c r="C63" s="75">
        <f>SUM(C53:C62)</f>
        <v/>
      </c>
      <c r="D63" s="74" t="inlineStr"/>
      <c r="E63" s="76">
        <f>SUM(E53:E62)</f>
        <v/>
      </c>
      <c r="F63" s="74" t="inlineStr"/>
      <c r="G63" s="74" t="inlineStr"/>
      <c r="H63" s="74" t="inlineStr"/>
      <c r="I63" s="74" t="inlineStr"/>
      <c r="J63" s="74" t="inlineStr"/>
    </row>
    <row r="64" ht="18" customHeight="1">
      <c r="A64" s="77" t="inlineStr">
        <is>
          <t>Clasicos no ticketeados</t>
        </is>
      </c>
      <c r="B64" s="78" t="inlineStr">
        <is>
          <t>Clasico</t>
        </is>
      </c>
      <c r="C64" s="79">
        <f>MAX(0,H12-(B24+B25+B26+B27+B28))</f>
        <v/>
      </c>
      <c r="D64" s="80">
        <f>PARAMETROS!B1</f>
        <v/>
      </c>
      <c r="E64" s="81">
        <f>C64*D64</f>
        <v/>
      </c>
      <c r="F64" s="78" t="inlineStr">
        <is>
          <t>Inv − Ticket</t>
        </is>
      </c>
      <c r="G64" s="82" t="inlineStr"/>
      <c r="H64" s="82" t="inlineStr"/>
      <c r="I64" s="82" t="inlineStr"/>
      <c r="J64" s="82" t="inlineStr"/>
    </row>
    <row r="65" ht="18" customHeight="1">
      <c r="A65" s="77" t="inlineStr">
        <is>
          <t>Sodas no ticketeadas</t>
        </is>
      </c>
      <c r="B65" s="78" t="inlineStr">
        <is>
          <t>Soda</t>
        </is>
      </c>
      <c r="C65" s="79">
        <f>MAX(0,H13-(B29+B27+B28))</f>
        <v/>
      </c>
      <c r="D65" s="80">
        <f>PARAMETROS!B7</f>
        <v/>
      </c>
      <c r="E65" s="81">
        <f>C65*D65</f>
        <v/>
      </c>
      <c r="F65" s="78" t="inlineStr">
        <is>
          <t>Inv − Ticket</t>
        </is>
      </c>
      <c r="G65" s="82" t="inlineStr"/>
      <c r="H65" s="82" t="inlineStr"/>
      <c r="I65" s="82" t="inlineStr"/>
      <c r="J65" s="82" t="inlineStr"/>
    </row>
    <row r="66" ht="18" customHeight="1">
      <c r="A66" s="77" t="inlineStr">
        <is>
          <t>Lays vendidas (inventario)</t>
        </is>
      </c>
      <c r="B66" s="78" t="inlineStr">
        <is>
          <t>Lays</t>
        </is>
      </c>
      <c r="C66" s="79">
        <f>H14</f>
        <v/>
      </c>
      <c r="D66" s="80">
        <f>PARAMETROS!B9</f>
        <v/>
      </c>
      <c r="E66" s="81">
        <f>C66*D66</f>
        <v/>
      </c>
      <c r="F66" s="78" t="inlineStr">
        <is>
          <t>Inv − Ticket</t>
        </is>
      </c>
      <c r="G66" s="82" t="inlineStr"/>
      <c r="H66" s="82" t="inlineStr"/>
      <c r="I66" s="82" t="inlineStr"/>
      <c r="J66" s="82" t="inlineStr"/>
    </row>
    <row r="67" ht="20" customHeight="1">
      <c r="A67" s="83" t="inlineStr">
        <is>
          <t>SUBTOTAL NO TICKETEADO</t>
        </is>
      </c>
      <c r="B67" s="82" t="inlineStr"/>
      <c r="C67" s="25">
        <f>SUM(C64:C66)</f>
        <v/>
      </c>
      <c r="D67" s="82" t="inlineStr"/>
      <c r="E67" s="84">
        <f>SUM(E64:E66)</f>
        <v/>
      </c>
      <c r="F67" s="82" t="inlineStr"/>
      <c r="G67" s="82" t="inlineStr"/>
      <c r="H67" s="82" t="inlineStr"/>
      <c r="I67" s="82" t="inlineStr"/>
      <c r="J67" s="82" t="inlineStr"/>
    </row>
    <row r="68" ht="24" customHeight="1">
      <c r="A68" s="65" t="inlineStr">
        <is>
          <t>TOTAL CONCILIO</t>
        </is>
      </c>
      <c r="B68" s="85" t="inlineStr"/>
      <c r="C68" s="86">
        <f>C63+C67</f>
        <v/>
      </c>
      <c r="D68" s="85" t="inlineStr"/>
      <c r="E68" s="66">
        <f>E63+E67</f>
        <v/>
      </c>
      <c r="F68" s="85" t="inlineStr"/>
      <c r="G68" s="85" t="inlineStr"/>
      <c r="H68" s="85" t="inlineStr"/>
      <c r="I68" s="85" t="inlineStr"/>
      <c r="J68" s="85" t="inlineStr"/>
    </row>
    <row r="70" ht="20" customHeight="1">
      <c r="A70" s="36" t="inlineStr">
        <is>
          <t>5. KPIs OFICIALES DEL DÍA</t>
        </is>
      </c>
    </row>
    <row r="71" ht="22" customHeight="1">
      <c r="A71" s="19" t="inlineStr">
        <is>
          <t>KPI</t>
        </is>
      </c>
      <c r="B71" s="19" t="inlineStr">
        <is>
          <t>Unidades</t>
        </is>
      </c>
      <c r="C71" s="19" t="inlineStr">
        <is>
          <t>Dinero ($)</t>
        </is>
      </c>
      <c r="D71" s="19" t="inlineStr">
        <is>
          <t>Estado / Semáforo</t>
        </is>
      </c>
      <c r="E71" s="19" t="inlineStr"/>
      <c r="F71" s="19" t="inlineStr"/>
      <c r="G71" s="19" t="inlineStr"/>
      <c r="H71" s="19" t="inlineStr"/>
      <c r="I71" s="19" t="inlineStr"/>
      <c r="J71" s="19" t="inlineStr"/>
    </row>
    <row r="72" ht="24" customHeight="1">
      <c r="A72" s="87" t="inlineStr">
        <is>
          <t>KPI 1 — Venta Real</t>
        </is>
      </c>
      <c r="B72" s="88" t="inlineStr">
        <is>
          <t>—</t>
        </is>
      </c>
      <c r="C72" s="66">
        <f>B49</f>
        <v/>
      </c>
      <c r="D72" s="89" t="inlineStr">
        <is>
          <t>Caja real — Verdad financiera del día</t>
        </is>
      </c>
    </row>
    <row r="73" ht="22" customHeight="1">
      <c r="A73" s="90" t="inlineStr">
        <is>
          <t>KPI 2 — Hotdogs Vendidos</t>
        </is>
      </c>
      <c r="B73" s="91">
        <f>H12</f>
        <v/>
      </c>
      <c r="C73" s="92">
        <f>E68</f>
        <v/>
      </c>
      <c r="D73" s="93" t="inlineStr">
        <is>
          <t>Unidades (inventario) | $ (concilio)</t>
        </is>
      </c>
    </row>
    <row r="74" ht="22" customHeight="1">
      <c r="A74" s="90" t="inlineStr">
        <is>
          <t>KPI 3 — Total Productos Vendidos</t>
        </is>
      </c>
      <c r="B74" s="91">
        <f>H12+H13+H14</f>
        <v/>
      </c>
      <c r="C74" s="92">
        <f>E68</f>
        <v/>
      </c>
      <c r="D74" s="93" t="inlineStr">
        <is>
          <t>HD + Sodas + Lays (inventario) | $ (concilio)</t>
        </is>
      </c>
    </row>
    <row r="75" ht="24" customHeight="1">
      <c r="A75" s="94" t="inlineStr">
        <is>
          <t>KPI 4 — Brecha Diaria</t>
        </is>
      </c>
      <c r="B75" s="95" t="inlineStr">
        <is>
          <t>—</t>
        </is>
      </c>
      <c r="C75" s="96">
        <f>B49-E68</f>
        <v/>
      </c>
      <c r="D75" s="94">
        <f>IF(C75=0,"✓ PERFECTO — Brecha $0",IF(C75&gt;0,IF(C75&lt;=5,"🟢 SOBRANTE VERDE — Día sano",IF(C75&lt;=10,"🟡 SOBRANTE AMARILLO — Monitorear",IF(C75&lt;=15,"🟠 SOBRANTE NARANJA — Revisar autopréstamo","🔴 SOBRANTE ROJO — Acción inmediata"))),IF(ABS(C75)&lt;=5,"🟡 FALTANTE AMARILLO — Revisar conteo",IF(ABS(C75)&lt;=10,"🟠 FALTANTE NARANJA — Investigar","🔴 FALTANTE ROJO — Acción inmediata"))))</f>
        <v/>
      </c>
    </row>
    <row r="77" ht="20" customHeight="1">
      <c r="A77" s="36" t="inlineStr">
        <is>
          <t>6. ESTADO DE CAJA BASE</t>
        </is>
      </c>
    </row>
    <row r="78" ht="22" customHeight="1">
      <c r="A78" s="19" t="inlineStr">
        <is>
          <t>Concepto</t>
        </is>
      </c>
      <c r="B78" s="19" t="inlineStr">
        <is>
          <t>Monto</t>
        </is>
      </c>
      <c r="C78" s="19" t="inlineStr">
        <is>
          <t>Observación</t>
        </is>
      </c>
    </row>
    <row r="79">
      <c r="A79" s="9" t="inlineStr">
        <is>
          <t>Caja Base Ideal</t>
        </is>
      </c>
      <c r="B79" s="97">
        <f>PARAMETROS!B32</f>
        <v/>
      </c>
      <c r="C79" s="98" t="inlineStr">
        <is>
          <t>Fondo estándar del negocio</t>
        </is>
      </c>
    </row>
    <row r="80">
      <c r="A80" s="14" t="inlineStr">
        <is>
          <t>Vuelto Inicial (hoy)</t>
        </is>
      </c>
      <c r="B80" s="99">
        <f>B47</f>
        <v/>
      </c>
      <c r="C80" s="30" t="inlineStr">
        <is>
          <t>Input — heredado del día anterior</t>
        </is>
      </c>
    </row>
    <row r="81">
      <c r="A81" s="9" t="inlineStr">
        <is>
          <t>Vuelto Final (mañana)</t>
        </is>
      </c>
      <c r="B81" s="97">
        <f>B48</f>
        <v/>
      </c>
      <c r="C81" s="98" t="inlineStr">
        <is>
          <t>Input — queda para el día siguiente</t>
        </is>
      </c>
    </row>
    <row r="82">
      <c r="A82" s="100" t="inlineStr">
        <is>
          <t>Variación Neta de Caja</t>
        </is>
      </c>
      <c r="B82" s="101">
        <f>B48-B47</f>
        <v/>
      </c>
      <c r="C82" s="102" t="inlineStr">
        <is>
          <t>Positivo=caja creció | Negativo=caja usada</t>
        </is>
      </c>
    </row>
  </sheetData>
  <mergeCells count="23">
    <mergeCell ref="A22:J22"/>
    <mergeCell ref="D74:J74"/>
    <mergeCell ref="A20:D20"/>
    <mergeCell ref="D73:J73"/>
    <mergeCell ref="C79:J79"/>
    <mergeCell ref="E4:F4"/>
    <mergeCell ref="F20:J20"/>
    <mergeCell ref="A77:J77"/>
    <mergeCell ref="A49"/>
    <mergeCell ref="C80:J80"/>
    <mergeCell ref="A51:J51"/>
    <mergeCell ref="A1:J1"/>
    <mergeCell ref="A36:J36"/>
    <mergeCell ref="A6:J6"/>
    <mergeCell ref="A70:J70"/>
    <mergeCell ref="A4:B4"/>
    <mergeCell ref="C82:J82"/>
    <mergeCell ref="D75:J75"/>
    <mergeCell ref="C81:J81"/>
    <mergeCell ref="H4:J4"/>
    <mergeCell ref="D72:J72"/>
    <mergeCell ref="A2:J2"/>
    <mergeCell ref="C49:J4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4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8" customWidth="1" min="35" max="35"/>
    <col width="18" customWidth="1" min="36" max="36"/>
  </cols>
  <sheetData>
    <row r="1" ht="32" customHeight="1">
      <c r="A1" s="1" t="inlineStr">
        <is>
          <t>SIVAR DOGS — BASE DE DATOS HISTÓRICA</t>
        </is>
      </c>
    </row>
    <row r="2" ht="14" customHeight="1"/>
    <row r="3" ht="28" customHeight="1">
      <c r="A3" s="19" t="inlineStr">
        <is>
          <t>Fecha</t>
        </is>
      </c>
      <c r="B3" s="19" t="inlineStr">
        <is>
          <t>Día</t>
        </is>
      </c>
      <c r="C3" s="19" t="inlineStr">
        <is>
          <t>Vendedora</t>
        </is>
      </c>
      <c r="D3" s="19" t="inlineStr">
        <is>
          <t>Punto Venta</t>
        </is>
      </c>
      <c r="E3" s="19" t="inlineStr">
        <is>
          <t>Pan_Sanfran_Vendido</t>
        </is>
      </c>
      <c r="F3" s="19" t="inlineStr">
        <is>
          <t>Sal_Jumbo_Vendido</t>
        </is>
      </c>
      <c r="G3" s="19" t="inlineStr">
        <is>
          <t>Sal_MiniJumbo_Vendido</t>
        </is>
      </c>
      <c r="H3" s="19" t="inlineStr">
        <is>
          <t>Hotdogs_Total</t>
        </is>
      </c>
      <c r="I3" s="19" t="inlineStr">
        <is>
          <t>Sodas_Vendidas</t>
        </is>
      </c>
      <c r="J3" s="19" t="inlineStr">
        <is>
          <t>Lays_Vendidas</t>
        </is>
      </c>
      <c r="K3" s="19" t="inlineStr">
        <is>
          <t>T_Clasico</t>
        </is>
      </c>
      <c r="L3" s="19" t="inlineStr">
        <is>
          <t>T_Chilidog</t>
        </is>
      </c>
      <c r="M3" s="19" t="inlineStr">
        <is>
          <t>T_Chickedog</t>
        </is>
      </c>
      <c r="N3" s="19" t="inlineStr">
        <is>
          <t>T_ComboClasico</t>
        </is>
      </c>
      <c r="O3" s="19" t="inlineStr">
        <is>
          <t>T_ComboEsp</t>
        </is>
      </c>
      <c r="P3" s="19" t="inlineStr">
        <is>
          <t>T_Soda</t>
        </is>
      </c>
      <c r="Q3" s="19" t="inlineStr">
        <is>
          <t>T_Lays</t>
        </is>
      </c>
      <c r="R3" s="19" t="inlineStr">
        <is>
          <t>T_Alitas</t>
        </is>
      </c>
      <c r="S3" s="19" t="inlineStr">
        <is>
          <t>T_Chunks</t>
        </is>
      </c>
      <c r="T3" s="19" t="inlineStr">
        <is>
          <t>T_Flanes</t>
        </is>
      </c>
      <c r="U3" s="19" t="inlineStr">
        <is>
          <t>Corte_Efectivo</t>
        </is>
      </c>
      <c r="V3" s="19" t="inlineStr">
        <is>
          <t>POS</t>
        </is>
      </c>
      <c r="W3" s="19" t="inlineStr">
        <is>
          <t>PedidosYa</t>
        </is>
      </c>
      <c r="X3" s="19" t="inlineStr">
        <is>
          <t>Transferencia</t>
        </is>
      </c>
      <c r="Y3" s="19" t="inlineStr">
        <is>
          <t>Gastos_Total</t>
        </is>
      </c>
      <c r="Z3" s="19" t="inlineStr">
        <is>
          <t>Vuelto_Inicial</t>
        </is>
      </c>
      <c r="AA3" s="19" t="inlineStr">
        <is>
          <t>Vuelto_Final</t>
        </is>
      </c>
      <c r="AB3" s="19" t="inlineStr">
        <is>
          <t>Variacion_Caja</t>
        </is>
      </c>
      <c r="AC3" s="19" t="inlineStr">
        <is>
          <t>Venta_Real</t>
        </is>
      </c>
      <c r="AD3" s="19" t="inlineStr">
        <is>
          <t>Concilio_Total</t>
        </is>
      </c>
      <c r="AE3" s="19" t="inlineStr">
        <is>
          <t>Brecha</t>
        </is>
      </c>
      <c r="AF3" s="19" t="inlineStr">
        <is>
          <t>Tipo_Brecha</t>
        </is>
      </c>
      <c r="AG3" s="19" t="inlineStr">
        <is>
          <t>Semaforo</t>
        </is>
      </c>
      <c r="AH3" s="19" t="inlineStr">
        <is>
          <t>Pan_vs_Sal_Diff</t>
        </is>
      </c>
      <c r="AI3" s="19" t="inlineStr">
        <is>
          <t>Flag_Revisar</t>
        </is>
      </c>
      <c r="AJ3" s="19" t="inlineStr">
        <is>
          <t>Notas</t>
        </is>
      </c>
    </row>
    <row r="4" ht="18" customHeight="1">
      <c r="A4" s="103" t="n">
        <v>46096</v>
      </c>
      <c r="B4" s="16" t="inlineStr">
        <is>
          <t>Sábado</t>
        </is>
      </c>
      <c r="C4" s="16" t="inlineStr">
        <is>
          <t>Vilma Luna</t>
        </is>
      </c>
      <c r="D4" s="16" t="inlineStr">
        <is>
          <t>Parque San Martín</t>
        </is>
      </c>
      <c r="E4" s="104" t="n">
        <v>229</v>
      </c>
      <c r="F4" s="104" t="n">
        <v>222</v>
      </c>
      <c r="G4" s="104" t="n">
        <v>0</v>
      </c>
      <c r="H4" s="104" t="n">
        <v>222</v>
      </c>
      <c r="I4" s="104" t="n">
        <v>84</v>
      </c>
      <c r="J4" s="104" t="n">
        <v>31</v>
      </c>
      <c r="K4" s="104" t="n">
        <v>160</v>
      </c>
      <c r="L4" s="104" t="n">
        <v>0</v>
      </c>
      <c r="M4" s="104" t="n">
        <v>0</v>
      </c>
      <c r="N4" s="104" t="n">
        <v>28</v>
      </c>
      <c r="O4" s="104" t="n">
        <v>0</v>
      </c>
      <c r="P4" s="104" t="n">
        <v>45</v>
      </c>
      <c r="Q4" s="104" t="n">
        <v>0</v>
      </c>
      <c r="R4" s="104" t="n">
        <v>1</v>
      </c>
      <c r="S4" s="104" t="n">
        <v>0</v>
      </c>
      <c r="T4" s="104" t="n">
        <v>0</v>
      </c>
      <c r="U4" s="15" t="n">
        <v>246.38</v>
      </c>
      <c r="V4" s="104" t="n">
        <v>6.5</v>
      </c>
      <c r="W4" s="104" t="n">
        <v>0</v>
      </c>
      <c r="X4" s="104" t="n">
        <v>0</v>
      </c>
      <c r="Y4" s="15" t="n">
        <v>211.27</v>
      </c>
      <c r="Z4" s="15" t="n">
        <v>24.15</v>
      </c>
      <c r="AA4" s="15" t="n">
        <v>43.35</v>
      </c>
      <c r="AB4" s="15" t="n">
        <v>19.2</v>
      </c>
      <c r="AC4" s="15" t="n">
        <v>440</v>
      </c>
      <c r="AD4" s="15" t="n">
        <v>428.75</v>
      </c>
      <c r="AE4" s="15" t="n">
        <v>11.25</v>
      </c>
      <c r="AF4" s="16" t="inlineStr">
        <is>
          <t>Sobrante</t>
        </is>
      </c>
      <c r="AG4" s="16" t="inlineStr">
        <is>
          <t>🟢 Verde</t>
        </is>
      </c>
      <c r="AH4" s="104" t="n">
        <v>7</v>
      </c>
      <c r="AI4" s="16" t="inlineStr"/>
      <c r="AJ4" s="16" t="inlineStr">
        <is>
          <t>Primer cierre auditado. Pan vs Sal: error de conteo confirmado.</t>
        </is>
      </c>
    </row>
  </sheetData>
  <mergeCells count="1">
    <mergeCell ref="A1:A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36" customHeight="1">
      <c r="A1" s="105" t="inlineStr">
        <is>
          <t>SIVAR DOGS — DASHBOARD GERENCIAL</t>
        </is>
      </c>
    </row>
    <row r="2">
      <c r="A2" s="106" t="inlineStr">
        <is>
          <t>Panel de control ejecutivo · Datos automáticos desde BASE_DATOS</t>
        </is>
      </c>
    </row>
    <row r="4" ht="20" customHeight="1">
      <c r="A4" s="8" t="inlineStr">
        <is>
          <t>RESUMEN SEMANA ACTUAL</t>
        </is>
      </c>
    </row>
    <row r="5" ht="22" customHeight="1">
      <c r="A5" s="8" t="inlineStr">
        <is>
          <t>Días operados</t>
        </is>
      </c>
      <c r="B5" s="8" t="inlineStr">
        <is>
          <t>Venta Total</t>
        </is>
      </c>
      <c r="C5" s="8" t="inlineStr">
        <is>
          <t>Prom. Diario</t>
        </is>
      </c>
      <c r="D5" s="8" t="inlineStr">
        <is>
          <t>Total HD Vendidos</t>
        </is>
      </c>
      <c r="E5" s="8" t="inlineStr">
        <is>
          <t>Brecha Acum.</t>
        </is>
      </c>
      <c r="F5" s="8" t="inlineStr">
        <is>
          <t>Días en Verde</t>
        </is>
      </c>
      <c r="G5" s="8" t="inlineStr">
        <is>
          <t>Días en Amarillo</t>
        </is>
      </c>
      <c r="H5" s="8" t="inlineStr">
        <is>
          <t>Días en Naranja</t>
        </is>
      </c>
      <c r="I5" s="8" t="inlineStr">
        <is>
          <t>Días en Rojo</t>
        </is>
      </c>
      <c r="J5" s="8" t="inlineStr">
        <is>
          <t>Semáforo</t>
        </is>
      </c>
    </row>
    <row r="6" ht="28" customHeight="1">
      <c r="A6" s="107">
        <f>COUNTA(BASE_DATOS!A4:A1000)-1</f>
        <v/>
      </c>
      <c r="B6" s="108">
        <f>SUMIF(BASE_DATOS!A4:A1000,"&lt;&gt;"&amp;"",BASE_DATOS!AB4:AB1000)</f>
        <v/>
      </c>
      <c r="C6" s="109">
        <f>IFERROR(B6/A6,0)</f>
        <v/>
      </c>
      <c r="D6" s="110">
        <f>SUMIF(BASE_DATOS!A4:A1000,"&lt;&gt;"&amp;"",BASE_DATOS!H4:H1000)</f>
        <v/>
      </c>
      <c r="E6" s="111">
        <f>SUMIF(BASE_DATOS!A4:A1000,"&lt;&gt;"&amp;"",BASE_DATOS!AC4:AC1000)</f>
        <v/>
      </c>
      <c r="F6" s="112">
        <f>COUNTIF(BASE_DATOS!AE4:AE1000,"🟢*")</f>
        <v/>
      </c>
      <c r="G6" s="113">
        <f>COUNTIF(BASE_DATOS!AE4:AE1000,"🟡*")</f>
        <v/>
      </c>
      <c r="H6" s="114">
        <f>COUNTIF(BASE_DATOS!AE4:AE1000,"🟠*")</f>
        <v/>
      </c>
      <c r="I6" s="115">
        <f>COUNTIF(BASE_DATOS!AE4:AE1000,"🔴*")</f>
        <v/>
      </c>
      <c r="J6" s="116">
        <f>IF(E6&gt;=0,IF(E6&lt;=5,"🟢 SANO",IF(E6&lt;=10,"🟡 REVISAR",IF(E6&lt;=15,"🟠 ALERTA","🔴 PROBLEMA"))),"🔴 FALTANTE")</f>
        <v/>
      </c>
    </row>
    <row r="8" ht="20" customHeight="1">
      <c r="A8" s="19" t="inlineStr">
        <is>
          <t>ÚLTIMOS DÍAS — DETALLE</t>
        </is>
      </c>
    </row>
    <row r="9" ht="22" customHeight="1">
      <c r="A9" s="19" t="inlineStr">
        <is>
          <t>Fecha</t>
        </is>
      </c>
      <c r="B9" s="19" t="inlineStr">
        <is>
          <t>Día</t>
        </is>
      </c>
      <c r="C9" s="19" t="inlineStr">
        <is>
          <t>Venta Real</t>
        </is>
      </c>
      <c r="D9" s="19" t="inlineStr">
        <is>
          <t>HD Vendidos</t>
        </is>
      </c>
      <c r="E9" s="19" t="inlineStr">
        <is>
          <t>Sodas</t>
        </is>
      </c>
      <c r="F9" s="19" t="inlineStr">
        <is>
          <t>Venta Concilio</t>
        </is>
      </c>
      <c r="G9" s="19" t="inlineStr">
        <is>
          <t>Brecha</t>
        </is>
      </c>
      <c r="H9" s="19" t="inlineStr">
        <is>
          <t>Tipo</t>
        </is>
      </c>
      <c r="I9" s="19" t="inlineStr">
        <is>
          <t>Semáforo</t>
        </is>
      </c>
      <c r="J9" s="19" t="inlineStr">
        <is>
          <t>Notas</t>
        </is>
      </c>
    </row>
    <row r="10" ht="18" customHeight="1">
      <c r="A10" s="117">
        <f>IFERROR(BASE_DATOS!A4,"")</f>
        <v/>
      </c>
      <c r="B10" s="118">
        <f>IFERROR(BASE_DATOS!B4,"")</f>
        <v/>
      </c>
      <c r="C10" s="10">
        <f>IFERROR(BASE_DATOS!AB4,"")</f>
        <v/>
      </c>
      <c r="D10" s="13">
        <f>IFERROR(BASE_DATOS!H4,"")</f>
        <v/>
      </c>
      <c r="E10" s="13">
        <f>IFERROR(BASE_DATOS!I4,"")</f>
        <v/>
      </c>
      <c r="F10" s="10">
        <f>IFERROR(BASE_DATOS!AC4,"")</f>
        <v/>
      </c>
      <c r="G10" s="10">
        <f>IFERROR(BASE_DATOS!AD4,"")</f>
        <v/>
      </c>
      <c r="H10" s="118">
        <f>IFERROR(BASE_DATOS!AE4,"")</f>
        <v/>
      </c>
      <c r="I10" s="118">
        <f>IFERROR(BASE_DATOS!AF4,"")</f>
        <v/>
      </c>
      <c r="J10" s="118">
        <f>IFERROR(BASE_DATOS!AH4,"")</f>
        <v/>
      </c>
    </row>
    <row r="11" ht="18" customHeight="1">
      <c r="A11" s="103">
        <f>IFERROR(BASE_DATOS!A5,"")</f>
        <v/>
      </c>
      <c r="B11" s="119">
        <f>IFERROR(BASE_DATOS!B5,"")</f>
        <v/>
      </c>
      <c r="C11" s="15">
        <f>IFERROR(BASE_DATOS!AB5,"")</f>
        <v/>
      </c>
      <c r="D11" s="18">
        <f>IFERROR(BASE_DATOS!H5,"")</f>
        <v/>
      </c>
      <c r="E11" s="18">
        <f>IFERROR(BASE_DATOS!I5,"")</f>
        <v/>
      </c>
      <c r="F11" s="15">
        <f>IFERROR(BASE_DATOS!AC5,"")</f>
        <v/>
      </c>
      <c r="G11" s="15">
        <f>IFERROR(BASE_DATOS!AD5,"")</f>
        <v/>
      </c>
      <c r="H11" s="119">
        <f>IFERROR(BASE_DATOS!AE5,"")</f>
        <v/>
      </c>
      <c r="I11" s="119">
        <f>IFERROR(BASE_DATOS!AF5,"")</f>
        <v/>
      </c>
      <c r="J11" s="119">
        <f>IFERROR(BASE_DATOS!AH5,"")</f>
        <v/>
      </c>
    </row>
    <row r="12" ht="18" customHeight="1">
      <c r="A12" s="117">
        <f>IFERROR(BASE_DATOS!A6,"")</f>
        <v/>
      </c>
      <c r="B12" s="118">
        <f>IFERROR(BASE_DATOS!B6,"")</f>
        <v/>
      </c>
      <c r="C12" s="10">
        <f>IFERROR(BASE_DATOS!AB6,"")</f>
        <v/>
      </c>
      <c r="D12" s="13">
        <f>IFERROR(BASE_DATOS!H6,"")</f>
        <v/>
      </c>
      <c r="E12" s="13">
        <f>IFERROR(BASE_DATOS!I6,"")</f>
        <v/>
      </c>
      <c r="F12" s="10">
        <f>IFERROR(BASE_DATOS!AC6,"")</f>
        <v/>
      </c>
      <c r="G12" s="10">
        <f>IFERROR(BASE_DATOS!AD6,"")</f>
        <v/>
      </c>
      <c r="H12" s="118">
        <f>IFERROR(BASE_DATOS!AE6,"")</f>
        <v/>
      </c>
      <c r="I12" s="118">
        <f>IFERROR(BASE_DATOS!AF6,"")</f>
        <v/>
      </c>
      <c r="J12" s="118">
        <f>IFERROR(BASE_DATOS!AH6,"")</f>
        <v/>
      </c>
    </row>
    <row r="13" ht="18" customHeight="1">
      <c r="A13" s="103">
        <f>IFERROR(BASE_DATOS!A7,"")</f>
        <v/>
      </c>
      <c r="B13" s="119">
        <f>IFERROR(BASE_DATOS!B7,"")</f>
        <v/>
      </c>
      <c r="C13" s="15">
        <f>IFERROR(BASE_DATOS!AB7,"")</f>
        <v/>
      </c>
      <c r="D13" s="18">
        <f>IFERROR(BASE_DATOS!H7,"")</f>
        <v/>
      </c>
      <c r="E13" s="18">
        <f>IFERROR(BASE_DATOS!I7,"")</f>
        <v/>
      </c>
      <c r="F13" s="15">
        <f>IFERROR(BASE_DATOS!AC7,"")</f>
        <v/>
      </c>
      <c r="G13" s="15">
        <f>IFERROR(BASE_DATOS!AD7,"")</f>
        <v/>
      </c>
      <c r="H13" s="119">
        <f>IFERROR(BASE_DATOS!AE7,"")</f>
        <v/>
      </c>
      <c r="I13" s="119">
        <f>IFERROR(BASE_DATOS!AF7,"")</f>
        <v/>
      </c>
      <c r="J13" s="119">
        <f>IFERROR(BASE_DATOS!AH7,"")</f>
        <v/>
      </c>
    </row>
    <row r="14" ht="18" customHeight="1">
      <c r="A14" s="117">
        <f>IFERROR(BASE_DATOS!A8,"")</f>
        <v/>
      </c>
      <c r="B14" s="118">
        <f>IFERROR(BASE_DATOS!B8,"")</f>
        <v/>
      </c>
      <c r="C14" s="10">
        <f>IFERROR(BASE_DATOS!AB8,"")</f>
        <v/>
      </c>
      <c r="D14" s="13">
        <f>IFERROR(BASE_DATOS!H8,"")</f>
        <v/>
      </c>
      <c r="E14" s="13">
        <f>IFERROR(BASE_DATOS!I8,"")</f>
        <v/>
      </c>
      <c r="F14" s="10">
        <f>IFERROR(BASE_DATOS!AC8,"")</f>
        <v/>
      </c>
      <c r="G14" s="10">
        <f>IFERROR(BASE_DATOS!AD8,"")</f>
        <v/>
      </c>
      <c r="H14" s="118">
        <f>IFERROR(BASE_DATOS!AE8,"")</f>
        <v/>
      </c>
      <c r="I14" s="118">
        <f>IFERROR(BASE_DATOS!AF8,"")</f>
        <v/>
      </c>
      <c r="J14" s="118">
        <f>IFERROR(BASE_DATOS!AH8,"")</f>
        <v/>
      </c>
    </row>
    <row r="15" ht="18" customHeight="1">
      <c r="A15" s="103">
        <f>IFERROR(BASE_DATOS!A9,"")</f>
        <v/>
      </c>
      <c r="B15" s="119">
        <f>IFERROR(BASE_DATOS!B9,"")</f>
        <v/>
      </c>
      <c r="C15" s="15">
        <f>IFERROR(BASE_DATOS!AB9,"")</f>
        <v/>
      </c>
      <c r="D15" s="18">
        <f>IFERROR(BASE_DATOS!H9,"")</f>
        <v/>
      </c>
      <c r="E15" s="18">
        <f>IFERROR(BASE_DATOS!I9,"")</f>
        <v/>
      </c>
      <c r="F15" s="15">
        <f>IFERROR(BASE_DATOS!AC9,"")</f>
        <v/>
      </c>
      <c r="G15" s="15">
        <f>IFERROR(BASE_DATOS!AD9,"")</f>
        <v/>
      </c>
      <c r="H15" s="119">
        <f>IFERROR(BASE_DATOS!AE9,"")</f>
        <v/>
      </c>
      <c r="I15" s="119">
        <f>IFERROR(BASE_DATOS!AF9,"")</f>
        <v/>
      </c>
      <c r="J15" s="119">
        <f>IFERROR(BASE_DATOS!AH9,"")</f>
        <v/>
      </c>
    </row>
    <row r="16" ht="18" customHeight="1">
      <c r="A16" s="117">
        <f>IFERROR(BASE_DATOS!A10,"")</f>
        <v/>
      </c>
      <c r="B16" s="118">
        <f>IFERROR(BASE_DATOS!B10,"")</f>
        <v/>
      </c>
      <c r="C16" s="10">
        <f>IFERROR(BASE_DATOS!AB10,"")</f>
        <v/>
      </c>
      <c r="D16" s="13">
        <f>IFERROR(BASE_DATOS!H10,"")</f>
        <v/>
      </c>
      <c r="E16" s="13">
        <f>IFERROR(BASE_DATOS!I10,"")</f>
        <v/>
      </c>
      <c r="F16" s="10">
        <f>IFERROR(BASE_DATOS!AC10,"")</f>
        <v/>
      </c>
      <c r="G16" s="10">
        <f>IFERROR(BASE_DATOS!AD10,"")</f>
        <v/>
      </c>
      <c r="H16" s="118">
        <f>IFERROR(BASE_DATOS!AE10,"")</f>
        <v/>
      </c>
      <c r="I16" s="118">
        <f>IFERROR(BASE_DATOS!AF10,"")</f>
        <v/>
      </c>
      <c r="J16" s="118">
        <f>IFERROR(BASE_DATOS!AH10,"")</f>
        <v/>
      </c>
    </row>
    <row r="17" ht="18" customHeight="1">
      <c r="A17" s="103">
        <f>IFERROR(BASE_DATOS!A11,"")</f>
        <v/>
      </c>
      <c r="B17" s="119">
        <f>IFERROR(BASE_DATOS!B11,"")</f>
        <v/>
      </c>
      <c r="C17" s="15">
        <f>IFERROR(BASE_DATOS!AB11,"")</f>
        <v/>
      </c>
      <c r="D17" s="18">
        <f>IFERROR(BASE_DATOS!H11,"")</f>
        <v/>
      </c>
      <c r="E17" s="18">
        <f>IFERROR(BASE_DATOS!I11,"")</f>
        <v/>
      </c>
      <c r="F17" s="15">
        <f>IFERROR(BASE_DATOS!AC11,"")</f>
        <v/>
      </c>
      <c r="G17" s="15">
        <f>IFERROR(BASE_DATOS!AD11,"")</f>
        <v/>
      </c>
      <c r="H17" s="119">
        <f>IFERROR(BASE_DATOS!AE11,"")</f>
        <v/>
      </c>
      <c r="I17" s="119">
        <f>IFERROR(BASE_DATOS!AF11,"")</f>
        <v/>
      </c>
      <c r="J17" s="119">
        <f>IFERROR(BASE_DATOS!AH11,"")</f>
        <v/>
      </c>
    </row>
    <row r="18" ht="18" customHeight="1">
      <c r="A18" s="117">
        <f>IFERROR(BASE_DATOS!A12,"")</f>
        <v/>
      </c>
      <c r="B18" s="118">
        <f>IFERROR(BASE_DATOS!B12,"")</f>
        <v/>
      </c>
      <c r="C18" s="10">
        <f>IFERROR(BASE_DATOS!AB12,"")</f>
        <v/>
      </c>
      <c r="D18" s="13">
        <f>IFERROR(BASE_DATOS!H12,"")</f>
        <v/>
      </c>
      <c r="E18" s="13">
        <f>IFERROR(BASE_DATOS!I12,"")</f>
        <v/>
      </c>
      <c r="F18" s="10">
        <f>IFERROR(BASE_DATOS!AC12,"")</f>
        <v/>
      </c>
      <c r="G18" s="10">
        <f>IFERROR(BASE_DATOS!AD12,"")</f>
        <v/>
      </c>
      <c r="H18" s="118">
        <f>IFERROR(BASE_DATOS!AE12,"")</f>
        <v/>
      </c>
      <c r="I18" s="118">
        <f>IFERROR(BASE_DATOS!AF12,"")</f>
        <v/>
      </c>
      <c r="J18" s="118">
        <f>IFERROR(BASE_DATOS!AH12,"")</f>
        <v/>
      </c>
    </row>
    <row r="19" ht="18" customHeight="1">
      <c r="A19" s="103">
        <f>IFERROR(BASE_DATOS!A13,"")</f>
        <v/>
      </c>
      <c r="B19" s="119">
        <f>IFERROR(BASE_DATOS!B13,"")</f>
        <v/>
      </c>
      <c r="C19" s="15">
        <f>IFERROR(BASE_DATOS!AB13,"")</f>
        <v/>
      </c>
      <c r="D19" s="18">
        <f>IFERROR(BASE_DATOS!H13,"")</f>
        <v/>
      </c>
      <c r="E19" s="18">
        <f>IFERROR(BASE_DATOS!I13,"")</f>
        <v/>
      </c>
      <c r="F19" s="15">
        <f>IFERROR(BASE_DATOS!AC13,"")</f>
        <v/>
      </c>
      <c r="G19" s="15">
        <f>IFERROR(BASE_DATOS!AD13,"")</f>
        <v/>
      </c>
      <c r="H19" s="119">
        <f>IFERROR(BASE_DATOS!AE13,"")</f>
        <v/>
      </c>
      <c r="I19" s="119">
        <f>IFERROR(BASE_DATOS!AF13,"")</f>
        <v/>
      </c>
      <c r="J19" s="119">
        <f>IFERROR(BASE_DATOS!AH13,"")</f>
        <v/>
      </c>
    </row>
  </sheetData>
  <mergeCells count="4">
    <mergeCell ref="A1:J1"/>
    <mergeCell ref="A4:J4"/>
    <mergeCell ref="A8:J8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2026-03-19T04:36:55Z</dcterms:created>
  <dcterms:modified xmlns:dcterms="http://purl.org/dc/terms/" xmlns:xsi="http://www.w3.org/2001/XMLSchema-instance" xsi:type="dcterms:W3CDTF">2026-03-19T04:36:55Z</dcterms:modified>
</cp:coreProperties>
</file>