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568bd410ee4bbc6/LAPTOP/"/>
    </mc:Choice>
  </mc:AlternateContent>
  <xr:revisionPtr revIDLastSave="0" documentId="8_{875A3507-A60C-4AF9-AC8D-C213B2C077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STRUCCIONES" sheetId="1" r:id="rId1"/>
    <sheet name="PARAMETROS" sheetId="2" r:id="rId2"/>
    <sheet name="CIERRE_DIARIO" sheetId="3" r:id="rId3"/>
    <sheet name="BASE_DATOS" sheetId="4" r:id="rId4"/>
    <sheet name="DASHBOAR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9" i="5" l="1"/>
  <c r="I19" i="5"/>
  <c r="H19" i="5"/>
  <c r="G19" i="5"/>
  <c r="F19" i="5"/>
  <c r="E19" i="5"/>
  <c r="D19" i="5"/>
  <c r="C19" i="5"/>
  <c r="B19" i="5"/>
  <c r="A19" i="5"/>
  <c r="J18" i="5"/>
  <c r="I18" i="5"/>
  <c r="H18" i="5"/>
  <c r="G18" i="5"/>
  <c r="F18" i="5"/>
  <c r="E18" i="5"/>
  <c r="D18" i="5"/>
  <c r="C18" i="5"/>
  <c r="B18" i="5"/>
  <c r="A18" i="5"/>
  <c r="J17" i="5"/>
  <c r="I17" i="5"/>
  <c r="H17" i="5"/>
  <c r="G17" i="5"/>
  <c r="F17" i="5"/>
  <c r="E17" i="5"/>
  <c r="D17" i="5"/>
  <c r="C17" i="5"/>
  <c r="B17" i="5"/>
  <c r="A17" i="5"/>
  <c r="J16" i="5"/>
  <c r="I16" i="5"/>
  <c r="H16" i="5"/>
  <c r="G16" i="5"/>
  <c r="F16" i="5"/>
  <c r="E16" i="5"/>
  <c r="D16" i="5"/>
  <c r="C16" i="5"/>
  <c r="B16" i="5"/>
  <c r="A16" i="5"/>
  <c r="J15" i="5"/>
  <c r="I15" i="5"/>
  <c r="H15" i="5"/>
  <c r="G15" i="5"/>
  <c r="F15" i="5"/>
  <c r="E15" i="5"/>
  <c r="D15" i="5"/>
  <c r="C15" i="5"/>
  <c r="B15" i="5"/>
  <c r="A15" i="5"/>
  <c r="J14" i="5"/>
  <c r="I14" i="5"/>
  <c r="H14" i="5"/>
  <c r="G14" i="5"/>
  <c r="F14" i="5"/>
  <c r="E14" i="5"/>
  <c r="D14" i="5"/>
  <c r="C14" i="5"/>
  <c r="B14" i="5"/>
  <c r="A14" i="5"/>
  <c r="J13" i="5"/>
  <c r="I13" i="5"/>
  <c r="H13" i="5"/>
  <c r="G13" i="5"/>
  <c r="F13" i="5"/>
  <c r="E13" i="5"/>
  <c r="D13" i="5"/>
  <c r="C13" i="5"/>
  <c r="B13" i="5"/>
  <c r="A13" i="5"/>
  <c r="J12" i="5"/>
  <c r="I12" i="5"/>
  <c r="H12" i="5"/>
  <c r="G12" i="5"/>
  <c r="F12" i="5"/>
  <c r="E12" i="5"/>
  <c r="D12" i="5"/>
  <c r="C12" i="5"/>
  <c r="B12" i="5"/>
  <c r="A12" i="5"/>
  <c r="J11" i="5"/>
  <c r="I11" i="5"/>
  <c r="H11" i="5"/>
  <c r="G11" i="5"/>
  <c r="F11" i="5"/>
  <c r="E11" i="5"/>
  <c r="D11" i="5"/>
  <c r="C11" i="5"/>
  <c r="B11" i="5"/>
  <c r="A11" i="5"/>
  <c r="J10" i="5"/>
  <c r="I10" i="5"/>
  <c r="H10" i="5"/>
  <c r="G10" i="5"/>
  <c r="F10" i="5"/>
  <c r="E10" i="5"/>
  <c r="D10" i="5"/>
  <c r="C10" i="5"/>
  <c r="B10" i="5"/>
  <c r="A10" i="5"/>
  <c r="J6" i="5"/>
  <c r="I6" i="5"/>
  <c r="H6" i="5"/>
  <c r="G6" i="5"/>
  <c r="F6" i="5"/>
  <c r="E6" i="5"/>
  <c r="D6" i="5"/>
  <c r="B6" i="5"/>
  <c r="C6" i="5" s="1"/>
  <c r="A6" i="5"/>
  <c r="B82" i="3"/>
  <c r="B81" i="3"/>
  <c r="B80" i="3"/>
  <c r="B79" i="3"/>
  <c r="D66" i="3"/>
  <c r="D65" i="3"/>
  <c r="D64" i="3"/>
  <c r="D62" i="3"/>
  <c r="C62" i="3"/>
  <c r="E62" i="3" s="1"/>
  <c r="D61" i="3"/>
  <c r="C61" i="3"/>
  <c r="E61" i="3" s="1"/>
  <c r="D60" i="3"/>
  <c r="C60" i="3"/>
  <c r="E60" i="3" s="1"/>
  <c r="D59" i="3"/>
  <c r="C59" i="3"/>
  <c r="E59" i="3" s="1"/>
  <c r="D58" i="3"/>
  <c r="C58" i="3"/>
  <c r="E58" i="3" s="1"/>
  <c r="D57" i="3"/>
  <c r="C57" i="3"/>
  <c r="E57" i="3" s="1"/>
  <c r="D56" i="3"/>
  <c r="C56" i="3"/>
  <c r="E56" i="3" s="1"/>
  <c r="D55" i="3"/>
  <c r="C55" i="3"/>
  <c r="E55" i="3" s="1"/>
  <c r="D54" i="3"/>
  <c r="C54" i="3"/>
  <c r="E54" i="3" s="1"/>
  <c r="D53" i="3"/>
  <c r="C53" i="3"/>
  <c r="C63" i="3" s="1"/>
  <c r="C49" i="3"/>
  <c r="E46" i="3"/>
  <c r="B49" i="3" s="1"/>
  <c r="B46" i="3"/>
  <c r="B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D34" i="3" s="1"/>
  <c r="C24" i="3"/>
  <c r="H19" i="3"/>
  <c r="D19" i="3"/>
  <c r="H18" i="3"/>
  <c r="D18" i="3"/>
  <c r="D17" i="3"/>
  <c r="H17" i="3" s="1"/>
  <c r="I17" i="3" s="1"/>
  <c r="H16" i="3"/>
  <c r="I16" i="3" s="1"/>
  <c r="D16" i="3"/>
  <c r="D15" i="3"/>
  <c r="H15" i="3" s="1"/>
  <c r="I15" i="3" s="1"/>
  <c r="H14" i="3"/>
  <c r="C66" i="3" s="1"/>
  <c r="E66" i="3" s="1"/>
  <c r="D14" i="3"/>
  <c r="D13" i="3"/>
  <c r="H13" i="3" s="1"/>
  <c r="H11" i="3"/>
  <c r="D11" i="3"/>
  <c r="H10" i="3"/>
  <c r="H12" i="3" s="1"/>
  <c r="D10" i="3"/>
  <c r="H9" i="3"/>
  <c r="D9" i="3"/>
  <c r="H8" i="3"/>
  <c r="E20" i="3" s="1"/>
  <c r="F20" i="3" s="1"/>
  <c r="D8" i="3"/>
  <c r="E4" i="3"/>
  <c r="B74" i="3" l="1"/>
  <c r="B73" i="3"/>
  <c r="C64" i="3"/>
  <c r="C72" i="3"/>
  <c r="C65" i="3"/>
  <c r="E65" i="3" s="1"/>
  <c r="I13" i="3"/>
  <c r="I14" i="3"/>
  <c r="E53" i="3"/>
  <c r="E63" i="3" s="1"/>
  <c r="E64" i="3" l="1"/>
  <c r="E67" i="3" s="1"/>
  <c r="E68" i="3" s="1"/>
  <c r="C67" i="3"/>
  <c r="C68" i="3" s="1"/>
  <c r="C74" i="3" l="1"/>
  <c r="C73" i="3"/>
  <c r="C75" i="3"/>
  <c r="D75" i="3" s="1"/>
</calcChain>
</file>

<file path=xl/sharedStrings.xml><?xml version="1.0" encoding="utf-8"?>
<sst xmlns="http://schemas.openxmlformats.org/spreadsheetml/2006/main" count="397" uniqueCount="258">
  <si>
    <t>SIVAR DOGS — GUÍA DE USO DEL SISTEMA</t>
  </si>
  <si>
    <t>CONVENCIÓN DE COLORES</t>
  </si>
  <si>
    <t>Azul (texto)</t>
  </si>
  <si>
    <t>Celda de INPUT — aquí ingresas los datos del día</t>
  </si>
  <si>
    <t>Negro (texto)</t>
  </si>
  <si>
    <t>Fórmula automática — no modificar</t>
  </si>
  <si>
    <t>Verde (texto)</t>
  </si>
  <si>
    <t>Referencia a otra hoja — no modificar</t>
  </si>
  <si>
    <t>FLUJO DIARIO DE USO</t>
  </si>
  <si>
    <t>1. Abrir CIERRE_DIARIO</t>
  </si>
  <si>
    <t>Cambiar la fecha en C4</t>
  </si>
  <si>
    <t>2. Sección 1 — Inventario</t>
  </si>
  <si>
    <t>Ingresar: Inicio, Compras, Cortesías, Pérdida, Sobra de cada producto</t>
  </si>
  <si>
    <t>3. Sección 2 — Tickets</t>
  </si>
  <si>
    <t>Ingresar cantidad ticketeada de cada producto</t>
  </si>
  <si>
    <t>4. Sección 3 — Ingresos</t>
  </si>
  <si>
    <t>Ingresar: Corte Efectivo, POS, PeYa, Transferencia, cada Gasto con su descripción</t>
  </si>
  <si>
    <t>5. Sección 3 — Caja</t>
  </si>
  <si>
    <t>Ingresar Vuelto Inicial (heredado de ayer) y Vuelto Final</t>
  </si>
  <si>
    <t>6. Revisar KPIs</t>
  </si>
  <si>
    <t>Los 4 KPIs se calculan automáticamente — revisar semáforo de brecha</t>
  </si>
  <si>
    <t>7. Copiar a BASE_DATOS</t>
  </si>
  <si>
    <t>Copiar los valores calculados a la hoja BASE_DATOS en la siguiente fila disponible</t>
  </si>
  <si>
    <t>REGLAS CRÍTICAS</t>
  </si>
  <si>
    <t>Pan = Salchicha</t>
  </si>
  <si>
    <t>Si difieren es hallazgo crítico — investigar antes de continuar</t>
  </si>
  <si>
    <t>Lays confirma combos</t>
  </si>
  <si>
    <t>Si lays en inventario &lt; combos ticketeados, descartar combo sin lays (y su soda)</t>
  </si>
  <si>
    <t>No ticketeados = Clásicos</t>
  </si>
  <si>
    <t>Asumir siempre clásico ($1.50) para auditoría. Precio ponderado solo para resumen mensual.</t>
  </si>
  <si>
    <t>Sobrante también es alerta</t>
  </si>
  <si>
    <t>Un sobrante recurrente puede indicar autopréstamo. Registrar como Devolución.</t>
  </si>
  <si>
    <t>Tag [REVISAR]</t>
  </si>
  <si>
    <t>Si falta un dato, asumir 0 y agregar [REVISAR] en la columna Notas para concilio posterior</t>
  </si>
  <si>
    <t>Inicio del día</t>
  </si>
  <si>
    <t>Inicio de inventario = Sobra del día anterior. Vuelto inicial = Vuelto final del día anterior.</t>
  </si>
  <si>
    <t>SEMÁFORO DE BRECHA</t>
  </si>
  <si>
    <t>Sobrante $0-$5</t>
  </si>
  <si>
    <t>🟢 Verde — Día sano</t>
  </si>
  <si>
    <t>Sobrante $5-$10</t>
  </si>
  <si>
    <t>🟡 Amarillo — Monitorear</t>
  </si>
  <si>
    <t>Sobrante $10-$15</t>
  </si>
  <si>
    <t>🟠 Naranja — Revisar autopréstamo</t>
  </si>
  <si>
    <t>Sobrante &gt;$15</t>
  </si>
  <si>
    <t>🔴 Rojo — Acción inmediata</t>
  </si>
  <si>
    <t>Faltante $0-$5</t>
  </si>
  <si>
    <t>🟡 Amarillo — Revisar conteo (faltante siempre más grave)</t>
  </si>
  <si>
    <t>Faltante $5-$10</t>
  </si>
  <si>
    <t>🟠 Naranja — Investigar causa</t>
  </si>
  <si>
    <t>Faltante &gt;$10</t>
  </si>
  <si>
    <t>SIVAR DOGS — PARÁMETROS DEL SISTEMA</t>
  </si>
  <si>
    <t>Parque San Martín · Santa Tecla, El Salvador — Hoja de referencia para todas las hojas del sistema</t>
  </si>
  <si>
    <t>MENÚ Y PRECIOS</t>
  </si>
  <si>
    <t>EMPAQUES — UNIDADES</t>
  </si>
  <si>
    <t>Producto</t>
  </si>
  <si>
    <t>Precio Venta</t>
  </si>
  <si>
    <t>Tipo</t>
  </si>
  <si>
    <t>Insumo</t>
  </si>
  <si>
    <t>Unidades/Envase</t>
  </si>
  <si>
    <t>Nota</t>
  </si>
  <si>
    <t>Hotdog Clasico</t>
  </si>
  <si>
    <t>Individual</t>
  </si>
  <si>
    <t>Pan Sanfran</t>
  </si>
  <si>
    <t>Bolsa — Todos los HD excepto Basico</t>
  </si>
  <si>
    <t>Hotdog Chilidog</t>
  </si>
  <si>
    <t>Pan Unica</t>
  </si>
  <si>
    <t>Bolsa — Solo Hotdog Basico</t>
  </si>
  <si>
    <t>Hotdog Chickedog</t>
  </si>
  <si>
    <t>Salchicha Jumbo</t>
  </si>
  <si>
    <t>Paquete — Todos excepto Basico</t>
  </si>
  <si>
    <t>Hotdog Basico</t>
  </si>
  <si>
    <t>Salchicha Mini Jumbo</t>
  </si>
  <si>
    <t>Paquete — Solo Hotdog Basico</t>
  </si>
  <si>
    <t>Combo Clasico</t>
  </si>
  <si>
    <t>Combo</t>
  </si>
  <si>
    <t>Combo Especialidad</t>
  </si>
  <si>
    <t>Soda / Bebida Lata</t>
  </si>
  <si>
    <t>Bebida</t>
  </si>
  <si>
    <t>Lays Individual</t>
  </si>
  <si>
    <t>Snack</t>
  </si>
  <si>
    <t>Lays en Combo</t>
  </si>
  <si>
    <t>Flanes</t>
  </si>
  <si>
    <t>Alitas</t>
  </si>
  <si>
    <t>Otro</t>
  </si>
  <si>
    <t>Chunks</t>
  </si>
  <si>
    <t>RECETAS POR PRODUCTO</t>
  </si>
  <si>
    <t>Pan</t>
  </si>
  <si>
    <t>Salchicha</t>
  </si>
  <si>
    <t>Rango $</t>
  </si>
  <si>
    <t>Estado</t>
  </si>
  <si>
    <t>Sobrante (+)</t>
  </si>
  <si>
    <t>$0 — $5</t>
  </si>
  <si>
    <t>VERDE</t>
  </si>
  <si>
    <t>$5 — $10</t>
  </si>
  <si>
    <t>AMARILLO</t>
  </si>
  <si>
    <t>$10 — $15</t>
  </si>
  <si>
    <t>NARANJA</t>
  </si>
  <si>
    <t>&gt; $15</t>
  </si>
  <si>
    <t>ROJO</t>
  </si>
  <si>
    <t>Faltante (-)</t>
  </si>
  <si>
    <t>&gt; $10</t>
  </si>
  <si>
    <t>CONFIGURACIÓN CAJA BASE</t>
  </si>
  <si>
    <t>Caja Base Ideal ($)</t>
  </si>
  <si>
    <t>Modificar aquí si cambia el fondo</t>
  </si>
  <si>
    <t>NOTA:</t>
  </si>
  <si>
    <t>Todas las hojas referencian estos parámetros. No modificar estructura de celdas.</t>
  </si>
  <si>
    <t>SIVAR DOGS — CIERRE DIARIO</t>
  </si>
  <si>
    <t>Parque San Martín · Santa Tecla · Ingrese los datos del corte en las celdas AZULES</t>
  </si>
  <si>
    <t>Fecha:</t>
  </si>
  <si>
    <t>Día:</t>
  </si>
  <si>
    <t>Vendedora:</t>
  </si>
  <si>
    <t>Vilma Luna</t>
  </si>
  <si>
    <t>1. CONTROL DE INVENTARIO</t>
  </si>
  <si>
    <t>Inicio</t>
  </si>
  <si>
    <t>Compras</t>
  </si>
  <si>
    <t>Disponible</t>
  </si>
  <si>
    <t>Cortesías</t>
  </si>
  <si>
    <t>Pérdida</t>
  </si>
  <si>
    <t>Sobra</t>
  </si>
  <si>
    <t>VENDIDO</t>
  </si>
  <si>
    <t>Vendido $</t>
  </si>
  <si>
    <t>Notas</t>
  </si>
  <si>
    <t>—</t>
  </si>
  <si>
    <t>HOTDOGS TOTAL</t>
  </si>
  <si>
    <t>Verdad base = Salchicha Jumbo</t>
  </si>
  <si>
    <t>Sodas</t>
  </si>
  <si>
    <t>Lays</t>
  </si>
  <si>
    <t>Aguas</t>
  </si>
  <si>
    <t>Jugos</t>
  </si>
  <si>
    <t>PAN vs SALCHICHA — Diferencia:</t>
  </si>
  <si>
    <t>2. TICKETS REGISTRADOS</t>
  </si>
  <si>
    <t>Cantidad</t>
  </si>
  <si>
    <t>Precio Unit.</t>
  </si>
  <si>
    <t>Subtotal</t>
  </si>
  <si>
    <t>HD incl.</t>
  </si>
  <si>
    <t>Sodas incl.</t>
  </si>
  <si>
    <t>Lays incl.</t>
  </si>
  <si>
    <t>Origen</t>
  </si>
  <si>
    <t>Hotdog Clasico individual</t>
  </si>
  <si>
    <t>Ticket</t>
  </si>
  <si>
    <t>Hotdog Chilidog individual</t>
  </si>
  <si>
    <t>Hotdog Chickedog individual</t>
  </si>
  <si>
    <t>Bebidas latas / Soda indiv.</t>
  </si>
  <si>
    <t>TOTAL TICKET</t>
  </si>
  <si>
    <t>3. INGRESOS Y GASTOS DEL DÍA</t>
  </si>
  <si>
    <t>INGRESOS</t>
  </si>
  <si>
    <t>Monto</t>
  </si>
  <si>
    <t>GASTOS</t>
  </si>
  <si>
    <t>Categoría</t>
  </si>
  <si>
    <t>Corte Efectivo Total</t>
  </si>
  <si>
    <t>Gasto 1</t>
  </si>
  <si>
    <t>POS</t>
  </si>
  <si>
    <t>Gasto 2</t>
  </si>
  <si>
    <t>PedidosYa</t>
  </si>
  <si>
    <t>Gasto 3</t>
  </si>
  <si>
    <t>Transferencia</t>
  </si>
  <si>
    <t>Gasto 4</t>
  </si>
  <si>
    <t>Gasto 5</t>
  </si>
  <si>
    <t>Gasto 6</t>
  </si>
  <si>
    <t>Gasto 7</t>
  </si>
  <si>
    <t>Gasto 8</t>
  </si>
  <si>
    <t>Subtotal Ingresos</t>
  </si>
  <si>
    <t>Total Gastos</t>
  </si>
  <si>
    <t>Vuelto Inicial (Caja inicio del día)</t>
  </si>
  <si>
    <t>Vuelto Final (Caja cierre del día)</t>
  </si>
  <si>
    <t>VENTA REAL DEL DÍA</t>
  </si>
  <si>
    <t>4. CONCILIO FINAL — VENTA DECLARADA POR PRODUCTO</t>
  </si>
  <si>
    <t>Clasico</t>
  </si>
  <si>
    <t>Chilidog</t>
  </si>
  <si>
    <t>Chickedog</t>
  </si>
  <si>
    <t>Clasico+S+L</t>
  </si>
  <si>
    <t>Chili/Chick+S+L</t>
  </si>
  <si>
    <t>Soda</t>
  </si>
  <si>
    <t>SUBTOTAL TICKETEADO</t>
  </si>
  <si>
    <t>Clasicos no ticketeados</t>
  </si>
  <si>
    <t>Inv − Ticket</t>
  </si>
  <si>
    <t>Sodas no ticketeadas</t>
  </si>
  <si>
    <t>Lays vendidas (inventario)</t>
  </si>
  <si>
    <t>SUBTOTAL NO TICKETEADO</t>
  </si>
  <si>
    <t>TOTAL CONCILIO</t>
  </si>
  <si>
    <t>5. KPIs OFICIALES DEL DÍA</t>
  </si>
  <si>
    <t>KPI</t>
  </si>
  <si>
    <t>Unidades</t>
  </si>
  <si>
    <t>Dinero ($)</t>
  </si>
  <si>
    <t>Estado / Semáforo</t>
  </si>
  <si>
    <t>KPI 1 — Venta Real</t>
  </si>
  <si>
    <t>Caja real — Verdad financiera del día</t>
  </si>
  <si>
    <t>KPI 2 — Hotdogs Vendidos</t>
  </si>
  <si>
    <t>Unidades (inventario) | $ (concilio)</t>
  </si>
  <si>
    <t>KPI 3 — Total Productos Vendidos</t>
  </si>
  <si>
    <t>HD + Sodas + Lays (inventario) | $ (concilio)</t>
  </si>
  <si>
    <t>KPI 4 — Brecha Diaria</t>
  </si>
  <si>
    <t>6. ESTADO DE CAJA BASE</t>
  </si>
  <si>
    <t>Concepto</t>
  </si>
  <si>
    <t>Observación</t>
  </si>
  <si>
    <t>Caja Base Ideal</t>
  </si>
  <si>
    <t>Fondo estándar del negocio</t>
  </si>
  <si>
    <t>Vuelto Inicial (hoy)</t>
  </si>
  <si>
    <t>Input — heredado del día anterior</t>
  </si>
  <si>
    <t>Vuelto Final (mañana)</t>
  </si>
  <si>
    <t>Input — queda para el día siguiente</t>
  </si>
  <si>
    <t>Variación Neta de Caja</t>
  </si>
  <si>
    <t>Positivo=caja creció | Negativo=caja usada</t>
  </si>
  <si>
    <t>SIVAR DOGS — BASE DE DATOS HISTÓRICA</t>
  </si>
  <si>
    <t>Fecha</t>
  </si>
  <si>
    <t>Día</t>
  </si>
  <si>
    <t>Vendedora</t>
  </si>
  <si>
    <t>Punto Venta</t>
  </si>
  <si>
    <t>Pan_Sanfran_Vendido</t>
  </si>
  <si>
    <t>Sal_Jumbo_Vendido</t>
  </si>
  <si>
    <t>Sal_MiniJumbo_Vendido</t>
  </si>
  <si>
    <t>Hotdogs_Total</t>
  </si>
  <si>
    <t>Sodas_Vendidas</t>
  </si>
  <si>
    <t>Lays_Vendidas</t>
  </si>
  <si>
    <t>T_Clasico</t>
  </si>
  <si>
    <t>T_Chilidog</t>
  </si>
  <si>
    <t>T_Chickedog</t>
  </si>
  <si>
    <t>T_ComboClasico</t>
  </si>
  <si>
    <t>T_ComboEsp</t>
  </si>
  <si>
    <t>T_Soda</t>
  </si>
  <si>
    <t>T_Lays</t>
  </si>
  <si>
    <t>T_Alitas</t>
  </si>
  <si>
    <t>T_Chunks</t>
  </si>
  <si>
    <t>T_Flanes</t>
  </si>
  <si>
    <t>Corte_Efectivo</t>
  </si>
  <si>
    <t>Gastos_Total</t>
  </si>
  <si>
    <t>Vuelto_Inicial</t>
  </si>
  <si>
    <t>Vuelto_Final</t>
  </si>
  <si>
    <t>Variacion_Caja</t>
  </si>
  <si>
    <t>Venta_Real</t>
  </si>
  <si>
    <t>Concilio_Total</t>
  </si>
  <si>
    <t>Brecha</t>
  </si>
  <si>
    <t>Tipo_Brecha</t>
  </si>
  <si>
    <t>Semaforo</t>
  </si>
  <si>
    <t>Pan_vs_Sal_Diff</t>
  </si>
  <si>
    <t>Flag_Revisar</t>
  </si>
  <si>
    <t>Sábado</t>
  </si>
  <si>
    <t>Parque San Martín</t>
  </si>
  <si>
    <t>Sobrante</t>
  </si>
  <si>
    <t>🟢 Verde</t>
  </si>
  <si>
    <t>Primer cierre auditado. Pan vs Sal: error de conteo confirmado.</t>
  </si>
  <si>
    <t>SIVAR DOGS — DASHBOARD GERENCIAL</t>
  </si>
  <si>
    <t>Panel de control ejecutivo · Datos automáticos desde BASE_DATOS</t>
  </si>
  <si>
    <t>RESUMEN SEMANA ACTUAL</t>
  </si>
  <si>
    <t>Días operados</t>
  </si>
  <si>
    <t>Venta Total</t>
  </si>
  <si>
    <t>Prom. Diario</t>
  </si>
  <si>
    <t>Total HD Vendidos</t>
  </si>
  <si>
    <t>Brecha Acum.</t>
  </si>
  <si>
    <t>Días en Verde</t>
  </si>
  <si>
    <t>Días en Amarillo</t>
  </si>
  <si>
    <t>Días en Naranja</t>
  </si>
  <si>
    <t>Días en Rojo</t>
  </si>
  <si>
    <t>Semáforo</t>
  </si>
  <si>
    <t>ÚLTIMOS DÍAS — DETALLE</t>
  </si>
  <si>
    <t>Venta Real</t>
  </si>
  <si>
    <t>HD Vendidos</t>
  </si>
  <si>
    <t>Venta Concilio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</si>
</sst>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6" formatCode="dd/mm/yyyy"/>
    <numFmt numFmtId="167" formatCode="\$#,##0.00;\(\$#,##0.00\)"/>
  </numFmts>
  <fonts count="41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9"/>
      <color rgb="FF6C757D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155724"/>
      <name val="Arial"/>
    </font>
    <font>
      <b/>
      <sz val="10"/>
      <color rgb="FF155724"/>
      <name val="Arial"/>
    </font>
    <font>
      <sz val="10"/>
      <color rgb="FF856404"/>
      <name val="Arial"/>
    </font>
    <font>
      <b/>
      <sz val="10"/>
      <color rgb="FF856404"/>
      <name val="Arial"/>
    </font>
    <font>
      <sz val="10"/>
      <color rgb="FF7D4E00"/>
      <name val="Arial"/>
    </font>
    <font>
      <b/>
      <sz val="10"/>
      <color rgb="FF7D4E00"/>
      <name val="Arial"/>
    </font>
    <font>
      <sz val="10"/>
      <color rgb="FF721C24"/>
      <name val="Arial"/>
    </font>
    <font>
      <b/>
      <sz val="10"/>
      <color rgb="FF721C24"/>
      <name val="Arial"/>
    </font>
    <font>
      <b/>
      <sz val="10"/>
      <color rgb="FF000000"/>
      <name val="Arial"/>
    </font>
    <font>
      <b/>
      <sz val="11"/>
      <color rgb="FF0000FF"/>
      <name val="Arial"/>
    </font>
    <font>
      <i/>
      <sz val="10"/>
      <color rgb="FF6C757D"/>
      <name val="Arial"/>
    </font>
    <font>
      <b/>
      <sz val="10"/>
      <color rgb="FFE63946"/>
      <name val="Arial"/>
    </font>
    <font>
      <b/>
      <sz val="11"/>
      <color rgb="FF000000"/>
      <name val="Arial"/>
    </font>
    <font>
      <sz val="10"/>
      <color rgb="FF0000FF"/>
      <name val="Arial"/>
    </font>
    <font>
      <b/>
      <sz val="10"/>
      <color rgb="FF1A1A2E"/>
      <name val="Arial"/>
    </font>
    <font>
      <b/>
      <sz val="10"/>
      <color rgb="FF457B9D"/>
      <name val="Arial"/>
    </font>
    <font>
      <b/>
      <sz val="11"/>
      <color rgb="FFE63946"/>
      <name val="Arial"/>
    </font>
    <font>
      <sz val="10"/>
      <color rgb="FF008000"/>
      <name val="Arial"/>
    </font>
    <font>
      <sz val="10"/>
      <color rgb="FF6C757D"/>
      <name val="Arial"/>
    </font>
    <font>
      <b/>
      <sz val="10"/>
      <name val="Arial"/>
    </font>
    <font>
      <b/>
      <sz val="10"/>
      <color rgb="FF0000FF"/>
      <name val="Arial"/>
    </font>
    <font>
      <b/>
      <sz val="12"/>
      <color rgb="FFFFFFFF"/>
      <name val="Arial"/>
    </font>
    <font>
      <b/>
      <sz val="14"/>
      <color rgb="FFFFFFFF"/>
      <name val="Arial"/>
    </font>
    <font>
      <i/>
      <sz val="9"/>
      <color rgb="FFA8DADC"/>
      <name val="Arial"/>
    </font>
    <font>
      <b/>
      <sz val="10"/>
      <color rgb="FF004085"/>
      <name val="Arial"/>
    </font>
    <font>
      <b/>
      <sz val="11"/>
      <color rgb="FFFFFFFF"/>
      <name val="Arial"/>
    </font>
    <font>
      <sz val="11"/>
      <color rgb="FFFFFFFF"/>
      <name val="Arial"/>
    </font>
    <font>
      <i/>
      <sz val="10"/>
      <color rgb="FFA8DADC"/>
      <name val="Arial"/>
    </font>
    <font>
      <b/>
      <sz val="13"/>
      <color rgb="FFFFFFFF"/>
      <name val="Arial"/>
    </font>
    <font>
      <i/>
      <sz val="10"/>
      <color rgb="FFFFFFFF"/>
      <name val="Arial"/>
    </font>
    <font>
      <sz val="11"/>
      <color rgb="FF000000"/>
      <name val="Arial"/>
    </font>
    <font>
      <b/>
      <sz val="11"/>
      <color rgb="FF155724"/>
      <name val="Arial"/>
    </font>
    <font>
      <b/>
      <sz val="18"/>
      <color rgb="FFFFFFFF"/>
      <name val="Arial"/>
    </font>
    <font>
      <b/>
      <sz val="12"/>
      <color rgb="FF1A1A2E"/>
      <name val="Arial"/>
    </font>
    <font>
      <sz val="10"/>
      <color rgb="FF1A1A2E"/>
      <name val="Arial"/>
    </font>
    <font>
      <sz val="10"/>
      <color rgb="FFFFFFFF"/>
      <name val="Arial"/>
    </font>
  </fonts>
  <fills count="1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457B9D"/>
      </patternFill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FE5B4"/>
      </patternFill>
    </fill>
    <fill>
      <patternFill patternType="solid">
        <fgColor rgb="FFF8D7DA"/>
      </patternFill>
    </fill>
    <fill>
      <patternFill patternType="solid">
        <fgColor rgb="FFEBF5FB"/>
      </patternFill>
    </fill>
    <fill>
      <patternFill patternType="solid">
        <fgColor rgb="FFE8F4F8"/>
      </patternFill>
    </fill>
    <fill>
      <patternFill patternType="solid">
        <fgColor rgb="FFE63946"/>
      </patternFill>
    </fill>
    <fill>
      <patternFill patternType="solid">
        <fgColor rgb="FFCCE5FF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9" fillId="4" borderId="1" xfId="0" applyFont="1" applyFill="1" applyBorder="1"/>
    <xf numFmtId="0" fontId="3" fillId="2" borderId="1" xfId="0" applyFont="1" applyFill="1" applyBorder="1"/>
    <xf numFmtId="0" fontId="40" fillId="2" borderId="1" xfId="0" applyFont="1" applyFill="1" applyBorder="1"/>
    <xf numFmtId="0" fontId="39" fillId="5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64" fontId="4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3" fontId="4" fillId="4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/>
    <xf numFmtId="164" fontId="4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3" fillId="5" borderId="1" xfId="0" applyFont="1" applyFill="1" applyBorder="1"/>
    <xf numFmtId="164" fontId="14" fillId="10" borderId="1" xfId="0" applyNumberFormat="1" applyFont="1" applyFill="1" applyBorder="1" applyAlignment="1">
      <alignment horizontal="center" vertical="center" wrapText="1"/>
    </xf>
    <xf numFmtId="0" fontId="15" fillId="5" borderId="1" xfId="0" applyFont="1" applyFill="1" applyBorder="1"/>
    <xf numFmtId="0" fontId="16" fillId="0" borderId="0" xfId="0" applyFont="1"/>
    <xf numFmtId="166" fontId="14" fillId="10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18" fillId="10" borderId="1" xfId="0" applyNumberFormat="1" applyFont="1" applyFill="1" applyBorder="1" applyAlignment="1">
      <alignment horizontal="center" vertical="center" wrapText="1"/>
    </xf>
    <xf numFmtId="3" fontId="19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/>
    <xf numFmtId="3" fontId="19" fillId="5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19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/>
    <xf numFmtId="3" fontId="21" fillId="7" borderId="1" xfId="0" applyNumberFormat="1" applyFont="1" applyFill="1" applyBorder="1" applyAlignment="1">
      <alignment horizontal="center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center" vertical="center" wrapText="1"/>
    </xf>
    <xf numFmtId="164" fontId="22" fillId="5" borderId="1" xfId="0" applyNumberFormat="1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0" fillId="3" borderId="1" xfId="0" applyFill="1" applyBorder="1"/>
    <xf numFmtId="164" fontId="3" fillId="3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/>
    <xf numFmtId="164" fontId="18" fillId="10" borderId="1" xfId="0" applyNumberFormat="1" applyFont="1" applyFill="1" applyBorder="1" applyAlignment="1">
      <alignment horizontal="right" vertical="center"/>
    </xf>
    <xf numFmtId="0" fontId="15" fillId="10" borderId="1" xfId="0" applyFont="1" applyFill="1" applyBorder="1"/>
    <xf numFmtId="0" fontId="18" fillId="10" borderId="1" xfId="0" applyFont="1" applyFill="1" applyBorder="1"/>
    <xf numFmtId="0" fontId="24" fillId="11" borderId="1" xfId="0" applyFont="1" applyFill="1" applyBorder="1"/>
    <xf numFmtId="164" fontId="13" fillId="11" borderId="1" xfId="0" applyNumberFormat="1" applyFont="1" applyFill="1" applyBorder="1" applyAlignment="1">
      <alignment horizontal="right" vertical="center"/>
    </xf>
    <xf numFmtId="0" fontId="0" fillId="11" borderId="1" xfId="0" applyFill="1" applyBorder="1"/>
    <xf numFmtId="164" fontId="25" fillId="10" borderId="1" xfId="0" applyNumberFormat="1" applyFont="1" applyFill="1" applyBorder="1" applyAlignment="1">
      <alignment horizontal="right" vertical="center"/>
    </xf>
    <xf numFmtId="0" fontId="26" fillId="2" borderId="1" xfId="0" applyFont="1" applyFill="1" applyBorder="1"/>
    <xf numFmtId="164" fontId="27" fillId="2" borderId="1" xfId="0" applyNumberFormat="1" applyFont="1" applyFill="1" applyBorder="1" applyAlignment="1">
      <alignment horizontal="right" vertical="center"/>
    </xf>
    <xf numFmtId="3" fontId="4" fillId="11" borderId="1" xfId="0" applyNumberFormat="1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29" fillId="13" borderId="1" xfId="0" applyFont="1" applyFill="1" applyBorder="1"/>
    <xf numFmtId="0" fontId="0" fillId="13" borderId="1" xfId="0" applyFill="1" applyBorder="1"/>
    <xf numFmtId="0" fontId="29" fillId="13" borderId="1" xfId="0" applyFont="1" applyFill="1" applyBorder="1" applyAlignment="1">
      <alignment horizontal="center" vertical="center" wrapText="1"/>
    </xf>
    <xf numFmtId="164" fontId="29" fillId="13" borderId="1" xfId="0" applyNumberFormat="1" applyFont="1" applyFill="1" applyBorder="1" applyAlignment="1">
      <alignment horizontal="right" vertical="center"/>
    </xf>
    <xf numFmtId="0" fontId="13" fillId="8" borderId="1" xfId="0" applyFont="1" applyFill="1" applyBorder="1"/>
    <xf numFmtId="0" fontId="23" fillId="8" borderId="1" xfId="0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164" fontId="22" fillId="8" borderId="1" xfId="0" applyNumberFormat="1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right" vertical="center"/>
    </xf>
    <xf numFmtId="0" fontId="0" fillId="8" borderId="1" xfId="0" applyFill="1" applyBorder="1"/>
    <xf numFmtId="0" fontId="10" fillId="8" borderId="1" xfId="0" applyFont="1" applyFill="1" applyBorder="1"/>
    <xf numFmtId="164" fontId="10" fillId="8" borderId="1" xfId="0" applyNumberFormat="1" applyFont="1" applyFill="1" applyBorder="1" applyAlignment="1">
      <alignment horizontal="right" vertical="center"/>
    </xf>
    <xf numFmtId="0" fontId="0" fillId="2" borderId="1" xfId="0" applyFill="1" applyBorder="1"/>
    <xf numFmtId="0" fontId="26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/>
    <xf numFmtId="0" fontId="31" fillId="2" borderId="1" xfId="0" applyFont="1" applyFill="1" applyBorder="1" applyAlignment="1">
      <alignment horizontal="center" vertical="center" wrapText="1"/>
    </xf>
    <xf numFmtId="0" fontId="30" fillId="3" borderId="1" xfId="0" applyFont="1" applyFill="1" applyBorder="1"/>
    <xf numFmtId="3" fontId="27" fillId="3" borderId="1" xfId="0" applyNumberFormat="1" applyFont="1" applyFill="1" applyBorder="1" applyAlignment="1">
      <alignment horizontal="center" vertical="center" wrapText="1"/>
    </xf>
    <xf numFmtId="164" fontId="33" fillId="3" borderId="1" xfId="0" applyNumberFormat="1" applyFont="1" applyFill="1" applyBorder="1" applyAlignment="1">
      <alignment horizontal="right" vertical="center"/>
    </xf>
    <xf numFmtId="0" fontId="30" fillId="12" borderId="1" xfId="0" applyFont="1" applyFill="1" applyBorder="1"/>
    <xf numFmtId="0" fontId="31" fillId="12" borderId="1" xfId="0" applyFont="1" applyFill="1" applyBorder="1" applyAlignment="1">
      <alignment horizontal="center" vertical="center" wrapText="1"/>
    </xf>
    <xf numFmtId="167" fontId="27" fillId="12" borderId="1" xfId="0" applyNumberFormat="1" applyFont="1" applyFill="1" applyBorder="1" applyAlignment="1">
      <alignment horizontal="right" vertical="center"/>
    </xf>
    <xf numFmtId="167" fontId="35" fillId="4" borderId="1" xfId="0" applyNumberFormat="1" applyFont="1" applyFill="1" applyBorder="1" applyAlignment="1">
      <alignment horizontal="right" vertical="center"/>
    </xf>
    <xf numFmtId="167" fontId="35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/>
    <xf numFmtId="167" fontId="36" fillId="6" borderId="1" xfId="0" applyNumberFormat="1" applyFont="1" applyFill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center" vertical="center" wrapText="1"/>
    </xf>
    <xf numFmtId="4" fontId="4" fillId="5" borderId="1" xfId="0" applyNumberFormat="1" applyFont="1" applyFill="1" applyBorder="1" applyAlignment="1">
      <alignment horizontal="center" vertical="center" wrapText="1"/>
    </xf>
    <xf numFmtId="3" fontId="38" fillId="5" borderId="1" xfId="0" applyNumberFormat="1" applyFont="1" applyFill="1" applyBorder="1" applyAlignment="1">
      <alignment horizontal="center" vertical="center" wrapText="1"/>
    </xf>
    <xf numFmtId="164" fontId="38" fillId="6" borderId="1" xfId="0" applyNumberFormat="1" applyFont="1" applyFill="1" applyBorder="1" applyAlignment="1">
      <alignment horizontal="center" vertical="center" wrapText="1"/>
    </xf>
    <xf numFmtId="164" fontId="38" fillId="11" borderId="1" xfId="0" applyNumberFormat="1" applyFont="1" applyFill="1" applyBorder="1" applyAlignment="1">
      <alignment horizontal="center" vertical="center" wrapText="1"/>
    </xf>
    <xf numFmtId="3" fontId="38" fillId="13" borderId="1" xfId="0" applyNumberFormat="1" applyFont="1" applyFill="1" applyBorder="1" applyAlignment="1">
      <alignment horizontal="center" vertical="center" wrapText="1"/>
    </xf>
    <xf numFmtId="164" fontId="38" fillId="7" borderId="1" xfId="0" applyNumberFormat="1" applyFont="1" applyFill="1" applyBorder="1" applyAlignment="1">
      <alignment horizontal="center" vertical="center" wrapText="1"/>
    </xf>
    <xf numFmtId="3" fontId="38" fillId="6" borderId="1" xfId="0" applyNumberFormat="1" applyFont="1" applyFill="1" applyBorder="1" applyAlignment="1">
      <alignment horizontal="center" vertical="center" wrapText="1"/>
    </xf>
    <xf numFmtId="3" fontId="38" fillId="7" borderId="1" xfId="0" applyNumberFormat="1" applyFont="1" applyFill="1" applyBorder="1" applyAlignment="1">
      <alignment horizontal="center" vertical="center" wrapText="1"/>
    </xf>
    <xf numFmtId="3" fontId="38" fillId="8" borderId="1" xfId="0" applyNumberFormat="1" applyFont="1" applyFill="1" applyBorder="1" applyAlignment="1">
      <alignment horizontal="center" vertical="center" wrapText="1"/>
    </xf>
    <xf numFmtId="3" fontId="38" fillId="9" borderId="1" xfId="0" applyNumberFormat="1" applyFont="1" applyFill="1" applyBorder="1" applyAlignment="1">
      <alignment horizontal="center" vertical="center" wrapText="1"/>
    </xf>
    <xf numFmtId="49" fontId="38" fillId="11" borderId="1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0" fillId="0" borderId="0" xfId="0"/>
    <xf numFmtId="0" fontId="15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4" fillId="3" borderId="1" xfId="0" applyFont="1" applyFill="1" applyBorder="1"/>
    <xf numFmtId="0" fontId="19" fillId="7" borderId="1" xfId="0" applyFont="1" applyFill="1" applyBorder="1"/>
    <xf numFmtId="0" fontId="15" fillId="4" borderId="1" xfId="0" applyFont="1" applyFill="1" applyBorder="1"/>
    <xf numFmtId="0" fontId="17" fillId="11" borderId="1" xfId="0" applyFont="1" applyFill="1" applyBorder="1" applyAlignment="1">
      <alignment horizontal="center" vertical="center" wrapText="1"/>
    </xf>
    <xf numFmtId="0" fontId="26" fillId="2" borderId="1" xfId="0" applyFont="1" applyFill="1" applyBorder="1"/>
    <xf numFmtId="0" fontId="15" fillId="5" borderId="1" xfId="0" applyFont="1" applyFill="1" applyBorder="1"/>
    <xf numFmtId="0" fontId="13" fillId="5" borderId="1" xfId="0" applyFont="1" applyFill="1" applyBorder="1"/>
    <xf numFmtId="0" fontId="15" fillId="6" borderId="1" xfId="0" applyFont="1" applyFill="1" applyBorder="1"/>
    <xf numFmtId="0" fontId="30" fillId="12" borderId="1" xfId="0" applyFont="1" applyFill="1" applyBorder="1"/>
    <xf numFmtId="0" fontId="14" fillId="10" borderId="1" xfId="0" applyFont="1" applyFill="1" applyBorder="1"/>
    <xf numFmtId="0" fontId="32" fillId="2" borderId="1" xfId="0" applyFont="1" applyFill="1" applyBorder="1"/>
    <xf numFmtId="0" fontId="28" fillId="2" borderId="1" xfId="0" applyFont="1" applyFill="1" applyBorder="1"/>
    <xf numFmtId="0" fontId="0" fillId="0" borderId="2" xfId="0" applyBorder="1"/>
    <xf numFmtId="0" fontId="0" fillId="0" borderId="3" xfId="0" applyBorder="1"/>
    <xf numFmtId="0" fontId="37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showGridLines="0" tabSelected="1" workbookViewId="0">
      <selection sqref="A1:B1"/>
    </sheetView>
  </sheetViews>
  <sheetFormatPr baseColWidth="10" defaultColWidth="9.140625" defaultRowHeight="15" x14ac:dyDescent="0.25"/>
  <cols>
    <col min="1" max="1" width="35" customWidth="1"/>
    <col min="2" max="2" width="65" customWidth="1"/>
  </cols>
  <sheetData>
    <row r="1" spans="1:2" ht="32.1" customHeight="1" x14ac:dyDescent="0.25">
      <c r="A1" s="104" t="s">
        <v>0</v>
      </c>
      <c r="B1" s="105"/>
    </row>
    <row r="2" spans="1:2" ht="18" customHeight="1" x14ac:dyDescent="0.25">
      <c r="A2" s="1"/>
      <c r="B2" s="1"/>
    </row>
    <row r="3" spans="1:2" ht="18" customHeight="1" x14ac:dyDescent="0.25">
      <c r="A3" s="2" t="s">
        <v>1</v>
      </c>
      <c r="B3" s="3"/>
    </row>
    <row r="4" spans="1:2" ht="18" customHeight="1" x14ac:dyDescent="0.25">
      <c r="A4" s="1" t="s">
        <v>2</v>
      </c>
      <c r="B4" s="1" t="s">
        <v>3</v>
      </c>
    </row>
    <row r="5" spans="1:2" ht="18" customHeight="1" x14ac:dyDescent="0.25">
      <c r="A5" s="4" t="s">
        <v>4</v>
      </c>
      <c r="B5" s="4" t="s">
        <v>5</v>
      </c>
    </row>
    <row r="6" spans="1:2" ht="18" customHeight="1" x14ac:dyDescent="0.25">
      <c r="A6" s="1" t="s">
        <v>6</v>
      </c>
      <c r="B6" s="1" t="s">
        <v>7</v>
      </c>
    </row>
    <row r="7" spans="1:2" ht="18" customHeight="1" x14ac:dyDescent="0.25">
      <c r="A7" s="4"/>
      <c r="B7" s="4"/>
    </row>
    <row r="8" spans="1:2" ht="18" customHeight="1" x14ac:dyDescent="0.25">
      <c r="A8" s="2" t="s">
        <v>8</v>
      </c>
      <c r="B8" s="3"/>
    </row>
    <row r="9" spans="1:2" ht="18" customHeight="1" x14ac:dyDescent="0.25">
      <c r="A9" s="4" t="s">
        <v>9</v>
      </c>
      <c r="B9" s="4" t="s">
        <v>10</v>
      </c>
    </row>
    <row r="10" spans="1:2" ht="18" customHeight="1" x14ac:dyDescent="0.25">
      <c r="A10" s="1" t="s">
        <v>11</v>
      </c>
      <c r="B10" s="1" t="s">
        <v>12</v>
      </c>
    </row>
    <row r="11" spans="1:2" ht="18" customHeight="1" x14ac:dyDescent="0.25">
      <c r="A11" s="4" t="s">
        <v>13</v>
      </c>
      <c r="B11" s="4" t="s">
        <v>14</v>
      </c>
    </row>
    <row r="12" spans="1:2" ht="18" customHeight="1" x14ac:dyDescent="0.25">
      <c r="A12" s="1" t="s">
        <v>15</v>
      </c>
      <c r="B12" s="1" t="s">
        <v>16</v>
      </c>
    </row>
    <row r="13" spans="1:2" ht="18" customHeight="1" x14ac:dyDescent="0.25">
      <c r="A13" s="4" t="s">
        <v>17</v>
      </c>
      <c r="B13" s="4" t="s">
        <v>18</v>
      </c>
    </row>
    <row r="14" spans="1:2" ht="18" customHeight="1" x14ac:dyDescent="0.25">
      <c r="A14" s="1" t="s">
        <v>19</v>
      </c>
      <c r="B14" s="1" t="s">
        <v>20</v>
      </c>
    </row>
    <row r="15" spans="1:2" ht="18" customHeight="1" x14ac:dyDescent="0.25">
      <c r="A15" s="4" t="s">
        <v>21</v>
      </c>
      <c r="B15" s="4" t="s">
        <v>22</v>
      </c>
    </row>
    <row r="16" spans="1:2" ht="18" customHeight="1" x14ac:dyDescent="0.25">
      <c r="A16" s="1"/>
      <c r="B16" s="1"/>
    </row>
    <row r="17" spans="1:2" ht="18" customHeight="1" x14ac:dyDescent="0.25">
      <c r="A17" s="2" t="s">
        <v>23</v>
      </c>
      <c r="B17" s="3"/>
    </row>
    <row r="18" spans="1:2" ht="18" customHeight="1" x14ac:dyDescent="0.25">
      <c r="A18" s="1" t="s">
        <v>24</v>
      </c>
      <c r="B18" s="1" t="s">
        <v>25</v>
      </c>
    </row>
    <row r="19" spans="1:2" ht="18" customHeight="1" x14ac:dyDescent="0.25">
      <c r="A19" s="4" t="s">
        <v>26</v>
      </c>
      <c r="B19" s="4" t="s">
        <v>27</v>
      </c>
    </row>
    <row r="20" spans="1:2" ht="18" customHeight="1" x14ac:dyDescent="0.25">
      <c r="A20" s="1" t="s">
        <v>28</v>
      </c>
      <c r="B20" s="1" t="s">
        <v>29</v>
      </c>
    </row>
    <row r="21" spans="1:2" ht="18" customHeight="1" x14ac:dyDescent="0.25">
      <c r="A21" s="4" t="s">
        <v>30</v>
      </c>
      <c r="B21" s="4" t="s">
        <v>31</v>
      </c>
    </row>
    <row r="22" spans="1:2" ht="18" customHeight="1" x14ac:dyDescent="0.25">
      <c r="A22" s="1" t="s">
        <v>32</v>
      </c>
      <c r="B22" s="1" t="s">
        <v>33</v>
      </c>
    </row>
    <row r="23" spans="1:2" ht="18" customHeight="1" x14ac:dyDescent="0.25">
      <c r="A23" s="4" t="s">
        <v>34</v>
      </c>
      <c r="B23" s="4" t="s">
        <v>35</v>
      </c>
    </row>
    <row r="24" spans="1:2" ht="18" customHeight="1" x14ac:dyDescent="0.25">
      <c r="A24" s="1"/>
      <c r="B24" s="1"/>
    </row>
    <row r="25" spans="1:2" ht="18" customHeight="1" x14ac:dyDescent="0.25">
      <c r="A25" s="2" t="s">
        <v>36</v>
      </c>
      <c r="B25" s="3"/>
    </row>
    <row r="26" spans="1:2" ht="18" customHeight="1" x14ac:dyDescent="0.25">
      <c r="A26" s="1" t="s">
        <v>37</v>
      </c>
      <c r="B26" s="1" t="s">
        <v>38</v>
      </c>
    </row>
    <row r="27" spans="1:2" ht="18" customHeight="1" x14ac:dyDescent="0.25">
      <c r="A27" s="4" t="s">
        <v>39</v>
      </c>
      <c r="B27" s="4" t="s">
        <v>40</v>
      </c>
    </row>
    <row r="28" spans="1:2" ht="18" customHeight="1" x14ac:dyDescent="0.25">
      <c r="A28" s="1" t="s">
        <v>41</v>
      </c>
      <c r="B28" s="1" t="s">
        <v>42</v>
      </c>
    </row>
    <row r="29" spans="1:2" ht="18" customHeight="1" x14ac:dyDescent="0.25">
      <c r="A29" s="4" t="s">
        <v>43</v>
      </c>
      <c r="B29" s="4" t="s">
        <v>44</v>
      </c>
    </row>
    <row r="30" spans="1:2" ht="18" customHeight="1" x14ac:dyDescent="0.25">
      <c r="A30" s="1" t="s">
        <v>45</v>
      </c>
      <c r="B30" s="1" t="s">
        <v>46</v>
      </c>
    </row>
    <row r="31" spans="1:2" ht="18" customHeight="1" x14ac:dyDescent="0.25">
      <c r="A31" s="4" t="s">
        <v>47</v>
      </c>
      <c r="B31" s="4" t="s">
        <v>48</v>
      </c>
    </row>
    <row r="32" spans="1:2" ht="18" customHeight="1" x14ac:dyDescent="0.25">
      <c r="A32" s="1" t="s">
        <v>49</v>
      </c>
      <c r="B32" s="1" t="s">
        <v>44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showGridLines="0" workbookViewId="0"/>
  </sheetViews>
  <sheetFormatPr baseColWidth="10" defaultColWidth="9.140625" defaultRowHeight="15" x14ac:dyDescent="0.25"/>
  <cols>
    <col min="1" max="1" width="28" customWidth="1"/>
    <col min="2" max="3" width="18" customWidth="1"/>
    <col min="4" max="4" width="8" customWidth="1"/>
    <col min="5" max="5" width="28" customWidth="1"/>
    <col min="6" max="7" width="18" customWidth="1"/>
  </cols>
  <sheetData>
    <row r="1" spans="1:7" ht="32.1" customHeight="1" x14ac:dyDescent="0.25">
      <c r="A1" s="107" t="s">
        <v>50</v>
      </c>
      <c r="B1" s="105"/>
      <c r="C1" s="105"/>
      <c r="D1" s="105"/>
      <c r="E1" s="105"/>
      <c r="F1" s="105"/>
      <c r="G1" s="105"/>
    </row>
    <row r="2" spans="1:7" x14ac:dyDescent="0.25">
      <c r="A2" s="109" t="s">
        <v>51</v>
      </c>
      <c r="B2" s="105"/>
      <c r="C2" s="105"/>
      <c r="D2" s="105"/>
      <c r="E2" s="105"/>
      <c r="F2" s="105"/>
      <c r="G2" s="105"/>
    </row>
    <row r="4" spans="1:7" ht="20.100000000000001" customHeight="1" x14ac:dyDescent="0.25">
      <c r="A4" s="110" t="s">
        <v>52</v>
      </c>
      <c r="B4" s="105"/>
      <c r="C4" s="105"/>
      <c r="E4" s="110" t="s">
        <v>53</v>
      </c>
      <c r="F4" s="105"/>
      <c r="G4" s="105"/>
    </row>
    <row r="5" spans="1:7" ht="21.95" customHeight="1" x14ac:dyDescent="0.25">
      <c r="A5" s="5" t="s">
        <v>54</v>
      </c>
      <c r="B5" s="5" t="s">
        <v>55</v>
      </c>
      <c r="C5" s="5" t="s">
        <v>56</v>
      </c>
      <c r="E5" s="5" t="s">
        <v>57</v>
      </c>
      <c r="F5" s="5" t="s">
        <v>58</v>
      </c>
      <c r="G5" s="5" t="s">
        <v>59</v>
      </c>
    </row>
    <row r="6" spans="1:7" ht="25.5" x14ac:dyDescent="0.25">
      <c r="A6" s="6" t="s">
        <v>60</v>
      </c>
      <c r="B6" s="7">
        <v>1.5</v>
      </c>
      <c r="C6" s="8" t="s">
        <v>61</v>
      </c>
      <c r="E6" s="9" t="s">
        <v>62</v>
      </c>
      <c r="F6" s="10">
        <v>12</v>
      </c>
      <c r="G6" s="9" t="s">
        <v>63</v>
      </c>
    </row>
    <row r="7" spans="1:7" ht="25.5" x14ac:dyDescent="0.25">
      <c r="A7" s="11" t="s">
        <v>64</v>
      </c>
      <c r="B7" s="12">
        <v>2</v>
      </c>
      <c r="C7" s="13" t="s">
        <v>61</v>
      </c>
      <c r="E7" s="14" t="s">
        <v>65</v>
      </c>
      <c r="F7" s="15">
        <v>10</v>
      </c>
      <c r="G7" s="14" t="s">
        <v>66</v>
      </c>
    </row>
    <row r="8" spans="1:7" ht="25.5" x14ac:dyDescent="0.25">
      <c r="A8" s="6" t="s">
        <v>67</v>
      </c>
      <c r="B8" s="7">
        <v>2</v>
      </c>
      <c r="C8" s="8" t="s">
        <v>61</v>
      </c>
      <c r="E8" s="9" t="s">
        <v>68</v>
      </c>
      <c r="F8" s="10">
        <v>16</v>
      </c>
      <c r="G8" s="9" t="s">
        <v>69</v>
      </c>
    </row>
    <row r="9" spans="1:7" ht="25.5" x14ac:dyDescent="0.25">
      <c r="A9" s="11" t="s">
        <v>70</v>
      </c>
      <c r="B9" s="12">
        <v>1</v>
      </c>
      <c r="C9" s="13" t="s">
        <v>61</v>
      </c>
      <c r="E9" s="14" t="s">
        <v>71</v>
      </c>
      <c r="F9" s="15">
        <v>24</v>
      </c>
      <c r="G9" s="14" t="s">
        <v>72</v>
      </c>
    </row>
    <row r="10" spans="1:7" x14ac:dyDescent="0.25">
      <c r="A10" s="6" t="s">
        <v>73</v>
      </c>
      <c r="B10" s="7">
        <v>2.75</v>
      </c>
      <c r="C10" s="8" t="s">
        <v>74</v>
      </c>
    </row>
    <row r="11" spans="1:7" x14ac:dyDescent="0.25">
      <c r="A11" s="11" t="s">
        <v>75</v>
      </c>
      <c r="B11" s="12">
        <v>3.25</v>
      </c>
      <c r="C11" s="13" t="s">
        <v>74</v>
      </c>
    </row>
    <row r="12" spans="1:7" x14ac:dyDescent="0.25">
      <c r="A12" s="6" t="s">
        <v>76</v>
      </c>
      <c r="B12" s="7">
        <v>1</v>
      </c>
      <c r="C12" s="8" t="s">
        <v>77</v>
      </c>
    </row>
    <row r="13" spans="1:7" x14ac:dyDescent="0.25">
      <c r="A13" s="11" t="s">
        <v>78</v>
      </c>
      <c r="B13" s="12">
        <v>0.5</v>
      </c>
      <c r="C13" s="13" t="s">
        <v>79</v>
      </c>
    </row>
    <row r="14" spans="1:7" x14ac:dyDescent="0.25">
      <c r="A14" s="6" t="s">
        <v>80</v>
      </c>
      <c r="B14" s="7">
        <v>0.25</v>
      </c>
      <c r="C14" s="8" t="s">
        <v>79</v>
      </c>
    </row>
    <row r="15" spans="1:7" x14ac:dyDescent="0.25">
      <c r="A15" s="11" t="s">
        <v>81</v>
      </c>
      <c r="B15" s="12">
        <v>0.65</v>
      </c>
      <c r="C15" s="13" t="s">
        <v>79</v>
      </c>
    </row>
    <row r="16" spans="1:7" x14ac:dyDescent="0.25">
      <c r="A16" s="6" t="s">
        <v>82</v>
      </c>
      <c r="B16" s="7">
        <v>4</v>
      </c>
      <c r="C16" s="8" t="s">
        <v>83</v>
      </c>
    </row>
    <row r="17" spans="1:7" x14ac:dyDescent="0.25">
      <c r="A17" s="11" t="s">
        <v>84</v>
      </c>
      <c r="B17" s="12">
        <v>4</v>
      </c>
      <c r="C17" s="13" t="s">
        <v>83</v>
      </c>
    </row>
    <row r="21" spans="1:7" ht="20.100000000000001" customHeight="1" x14ac:dyDescent="0.25">
      <c r="A21" s="108" t="s">
        <v>85</v>
      </c>
      <c r="B21" s="105"/>
      <c r="C21" s="105"/>
      <c r="E21" s="108" t="s">
        <v>36</v>
      </c>
      <c r="F21" s="105"/>
      <c r="G21" s="105"/>
    </row>
    <row r="22" spans="1:7" ht="21.95" customHeight="1" x14ac:dyDescent="0.25">
      <c r="A22" s="16" t="s">
        <v>54</v>
      </c>
      <c r="B22" s="16" t="s">
        <v>86</v>
      </c>
      <c r="C22" s="16" t="s">
        <v>87</v>
      </c>
      <c r="E22" s="16" t="s">
        <v>56</v>
      </c>
      <c r="F22" s="16" t="s">
        <v>88</v>
      </c>
      <c r="G22" s="16" t="s">
        <v>89</v>
      </c>
    </row>
    <row r="23" spans="1:7" x14ac:dyDescent="0.25">
      <c r="A23" s="9" t="s">
        <v>60</v>
      </c>
      <c r="B23" s="9" t="s">
        <v>62</v>
      </c>
      <c r="C23" s="9" t="s">
        <v>68</v>
      </c>
      <c r="E23" s="17" t="s">
        <v>90</v>
      </c>
      <c r="F23" s="17" t="s">
        <v>91</v>
      </c>
      <c r="G23" s="18" t="s">
        <v>92</v>
      </c>
    </row>
    <row r="24" spans="1:7" x14ac:dyDescent="0.25">
      <c r="A24" s="14" t="s">
        <v>64</v>
      </c>
      <c r="B24" s="14" t="s">
        <v>62</v>
      </c>
      <c r="C24" s="14" t="s">
        <v>68</v>
      </c>
      <c r="E24" s="19" t="s">
        <v>90</v>
      </c>
      <c r="F24" s="19" t="s">
        <v>93</v>
      </c>
      <c r="G24" s="20" t="s">
        <v>94</v>
      </c>
    </row>
    <row r="25" spans="1:7" x14ac:dyDescent="0.25">
      <c r="A25" s="9" t="s">
        <v>67</v>
      </c>
      <c r="B25" s="9" t="s">
        <v>62</v>
      </c>
      <c r="C25" s="9" t="s">
        <v>68</v>
      </c>
      <c r="E25" s="21" t="s">
        <v>90</v>
      </c>
      <c r="F25" s="21" t="s">
        <v>95</v>
      </c>
      <c r="G25" s="22" t="s">
        <v>96</v>
      </c>
    </row>
    <row r="26" spans="1:7" ht="25.5" x14ac:dyDescent="0.25">
      <c r="A26" s="14" t="s">
        <v>70</v>
      </c>
      <c r="B26" s="14" t="s">
        <v>65</v>
      </c>
      <c r="C26" s="14" t="s">
        <v>71</v>
      </c>
      <c r="E26" s="23" t="s">
        <v>90</v>
      </c>
      <c r="F26" s="23" t="s">
        <v>97</v>
      </c>
      <c r="G26" s="24" t="s">
        <v>98</v>
      </c>
    </row>
    <row r="27" spans="1:7" x14ac:dyDescent="0.25">
      <c r="A27" s="9" t="s">
        <v>73</v>
      </c>
      <c r="B27" s="9" t="s">
        <v>62</v>
      </c>
      <c r="C27" s="9" t="s">
        <v>68</v>
      </c>
      <c r="E27" s="19" t="s">
        <v>99</v>
      </c>
      <c r="F27" s="19" t="s">
        <v>91</v>
      </c>
      <c r="G27" s="20" t="s">
        <v>94</v>
      </c>
    </row>
    <row r="28" spans="1:7" x14ac:dyDescent="0.25">
      <c r="A28" s="14" t="s">
        <v>75</v>
      </c>
      <c r="B28" s="14" t="s">
        <v>62</v>
      </c>
      <c r="C28" s="14" t="s">
        <v>68</v>
      </c>
      <c r="E28" s="21" t="s">
        <v>99</v>
      </c>
      <c r="F28" s="21" t="s">
        <v>93</v>
      </c>
      <c r="G28" s="22" t="s">
        <v>96</v>
      </c>
    </row>
    <row r="29" spans="1:7" x14ac:dyDescent="0.25">
      <c r="E29" s="23" t="s">
        <v>99</v>
      </c>
      <c r="F29" s="23" t="s">
        <v>100</v>
      </c>
      <c r="G29" s="24" t="s">
        <v>98</v>
      </c>
    </row>
    <row r="31" spans="1:7" ht="20.100000000000001" customHeight="1" x14ac:dyDescent="0.25">
      <c r="A31" s="108" t="s">
        <v>101</v>
      </c>
      <c r="B31" s="105"/>
      <c r="C31" s="105"/>
    </row>
    <row r="32" spans="1:7" x14ac:dyDescent="0.25">
      <c r="A32" s="25" t="s">
        <v>102</v>
      </c>
      <c r="B32" s="26">
        <v>45</v>
      </c>
      <c r="C32" s="27" t="s">
        <v>103</v>
      </c>
    </row>
    <row r="34" spans="1:7" x14ac:dyDescent="0.25">
      <c r="A34" s="28" t="s">
        <v>104</v>
      </c>
      <c r="B34" s="106" t="s">
        <v>105</v>
      </c>
      <c r="C34" s="105"/>
      <c r="D34" s="105"/>
      <c r="E34" s="105"/>
      <c r="F34" s="105"/>
      <c r="G34" s="105"/>
    </row>
  </sheetData>
  <mergeCells count="8">
    <mergeCell ref="B34:G34"/>
    <mergeCell ref="A1:G1"/>
    <mergeCell ref="A31:C31"/>
    <mergeCell ref="A2:G2"/>
    <mergeCell ref="E4:G4"/>
    <mergeCell ref="A21:C21"/>
    <mergeCell ref="E21:G21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2"/>
  <sheetViews>
    <sheetView showGridLines="0" workbookViewId="0"/>
  </sheetViews>
  <sheetFormatPr baseColWidth="10" defaultColWidth="9.140625" defaultRowHeight="15" x14ac:dyDescent="0.25"/>
  <cols>
    <col min="1" max="1" width="28" customWidth="1"/>
    <col min="2" max="7" width="12" customWidth="1"/>
    <col min="8" max="9" width="14" customWidth="1"/>
    <col min="10" max="10" width="18" customWidth="1"/>
  </cols>
  <sheetData>
    <row r="1" spans="1:10" ht="32.1" customHeight="1" x14ac:dyDescent="0.25">
      <c r="A1" s="107" t="s">
        <v>106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x14ac:dyDescent="0.25">
      <c r="A2" s="109" t="s">
        <v>107</v>
      </c>
      <c r="B2" s="105"/>
      <c r="C2" s="105"/>
      <c r="D2" s="105"/>
      <c r="E2" s="105"/>
      <c r="F2" s="105"/>
      <c r="G2" s="105"/>
      <c r="H2" s="105"/>
      <c r="I2" s="105"/>
      <c r="J2" s="105"/>
    </row>
    <row r="4" spans="1:10" ht="20.100000000000001" customHeight="1" x14ac:dyDescent="0.25">
      <c r="A4" s="118" t="s">
        <v>108</v>
      </c>
      <c r="B4" s="105"/>
      <c r="C4" s="29">
        <v>46100</v>
      </c>
      <c r="D4" s="25" t="s">
        <v>109</v>
      </c>
      <c r="E4" s="115" t="str">
        <f>TEXT(C4,"DDDD")</f>
        <v>jueves</v>
      </c>
      <c r="F4" s="105"/>
      <c r="G4" s="25" t="s">
        <v>110</v>
      </c>
      <c r="H4" s="121" t="s">
        <v>111</v>
      </c>
      <c r="I4" s="105"/>
      <c r="J4" s="105"/>
    </row>
    <row r="6" spans="1:10" ht="20.100000000000001" customHeight="1" x14ac:dyDescent="0.25">
      <c r="A6" s="111" t="s">
        <v>112</v>
      </c>
      <c r="B6" s="105"/>
      <c r="C6" s="105"/>
      <c r="D6" s="105"/>
      <c r="E6" s="105"/>
      <c r="F6" s="105"/>
      <c r="G6" s="105"/>
      <c r="H6" s="105"/>
      <c r="I6" s="105"/>
      <c r="J6" s="105"/>
    </row>
    <row r="7" spans="1:10" ht="21.95" customHeight="1" x14ac:dyDescent="0.25">
      <c r="A7" s="16" t="s">
        <v>54</v>
      </c>
      <c r="B7" s="16" t="s">
        <v>113</v>
      </c>
      <c r="C7" s="16" t="s">
        <v>114</v>
      </c>
      <c r="D7" s="16" t="s">
        <v>115</v>
      </c>
      <c r="E7" s="16" t="s">
        <v>116</v>
      </c>
      <c r="F7" s="16" t="s">
        <v>117</v>
      </c>
      <c r="G7" s="16" t="s">
        <v>118</v>
      </c>
      <c r="H7" s="16" t="s">
        <v>119</v>
      </c>
      <c r="I7" s="16" t="s">
        <v>120</v>
      </c>
      <c r="J7" s="16" t="s">
        <v>121</v>
      </c>
    </row>
    <row r="8" spans="1:10" ht="18" customHeight="1" x14ac:dyDescent="0.25">
      <c r="A8" s="9" t="s">
        <v>62</v>
      </c>
      <c r="B8" s="31">
        <v>0</v>
      </c>
      <c r="C8" s="31">
        <v>0</v>
      </c>
      <c r="D8" s="10">
        <f>B8+C8</f>
        <v>0</v>
      </c>
      <c r="E8" s="31">
        <v>0</v>
      </c>
      <c r="F8" s="31">
        <v>0</v>
      </c>
      <c r="G8" s="31">
        <v>0</v>
      </c>
      <c r="H8" s="32">
        <f>D8-E8-F8-G8</f>
        <v>0</v>
      </c>
      <c r="I8" s="33" t="s">
        <v>122</v>
      </c>
      <c r="J8" s="34"/>
    </row>
    <row r="9" spans="1:10" ht="18" customHeight="1" x14ac:dyDescent="0.25">
      <c r="A9" s="14" t="s">
        <v>65</v>
      </c>
      <c r="B9" s="31">
        <v>0</v>
      </c>
      <c r="C9" s="31">
        <v>0</v>
      </c>
      <c r="D9" s="15">
        <f>B9+C9</f>
        <v>0</v>
      </c>
      <c r="E9" s="31">
        <v>0</v>
      </c>
      <c r="F9" s="31">
        <v>0</v>
      </c>
      <c r="G9" s="31">
        <v>0</v>
      </c>
      <c r="H9" s="35">
        <f>D9-E9-F9-G9</f>
        <v>0</v>
      </c>
      <c r="I9" s="36" t="s">
        <v>122</v>
      </c>
      <c r="J9" s="37"/>
    </row>
    <row r="10" spans="1:10" ht="18" customHeight="1" x14ac:dyDescent="0.25">
      <c r="A10" s="9" t="s">
        <v>68</v>
      </c>
      <c r="B10" s="31">
        <v>0</v>
      </c>
      <c r="C10" s="31">
        <v>0</v>
      </c>
      <c r="D10" s="10">
        <f>B10+C10</f>
        <v>0</v>
      </c>
      <c r="E10" s="31">
        <v>0</v>
      </c>
      <c r="F10" s="31">
        <v>0</v>
      </c>
      <c r="G10" s="31">
        <v>0</v>
      </c>
      <c r="H10" s="32">
        <f>D10-E10-F10-G10</f>
        <v>0</v>
      </c>
      <c r="I10" s="33" t="s">
        <v>122</v>
      </c>
      <c r="J10" s="34"/>
    </row>
    <row r="11" spans="1:10" ht="18" customHeight="1" x14ac:dyDescent="0.25">
      <c r="A11" s="14" t="s">
        <v>71</v>
      </c>
      <c r="B11" s="31">
        <v>0</v>
      </c>
      <c r="C11" s="31">
        <v>0</v>
      </c>
      <c r="D11" s="15">
        <f>B11+C11</f>
        <v>0</v>
      </c>
      <c r="E11" s="31">
        <v>0</v>
      </c>
      <c r="F11" s="31">
        <v>0</v>
      </c>
      <c r="G11" s="31">
        <v>0</v>
      </c>
      <c r="H11" s="35">
        <f>D11-E11-F11-G11</f>
        <v>0</v>
      </c>
      <c r="I11" s="36" t="s">
        <v>122</v>
      </c>
      <c r="J11" s="37"/>
    </row>
    <row r="12" spans="1:10" ht="18" customHeight="1" x14ac:dyDescent="0.25">
      <c r="A12" s="38" t="s">
        <v>123</v>
      </c>
      <c r="B12" s="39" t="s">
        <v>122</v>
      </c>
      <c r="C12" s="39" t="s">
        <v>122</v>
      </c>
      <c r="D12" s="39" t="s">
        <v>122</v>
      </c>
      <c r="E12" s="39" t="s">
        <v>122</v>
      </c>
      <c r="F12" s="39" t="s">
        <v>122</v>
      </c>
      <c r="G12" s="39" t="s">
        <v>122</v>
      </c>
      <c r="H12" s="40">
        <f>H10</f>
        <v>0</v>
      </c>
      <c r="I12" s="39" t="s">
        <v>122</v>
      </c>
      <c r="J12" s="41" t="s">
        <v>124</v>
      </c>
    </row>
    <row r="13" spans="1:10" ht="18" customHeight="1" x14ac:dyDescent="0.25">
      <c r="A13" s="14" t="s">
        <v>125</v>
      </c>
      <c r="B13" s="31">
        <v>0</v>
      </c>
      <c r="C13" s="31">
        <v>0</v>
      </c>
      <c r="D13" s="15">
        <f t="shared" ref="D13:D19" si="0">B13+C13</f>
        <v>0</v>
      </c>
      <c r="E13" s="31">
        <v>0</v>
      </c>
      <c r="F13" s="31">
        <v>0</v>
      </c>
      <c r="G13" s="31">
        <v>0</v>
      </c>
      <c r="H13" s="35">
        <f t="shared" ref="H13:H19" si="1">D13-E13-F13-G13</f>
        <v>0</v>
      </c>
      <c r="I13" s="12">
        <f>H13*PARAMETROS!B9</f>
        <v>0</v>
      </c>
      <c r="J13" s="37"/>
    </row>
    <row r="14" spans="1:10" ht="18" customHeight="1" x14ac:dyDescent="0.25">
      <c r="A14" s="9" t="s">
        <v>126</v>
      </c>
      <c r="B14" s="31">
        <v>0</v>
      </c>
      <c r="C14" s="31">
        <v>0</v>
      </c>
      <c r="D14" s="10">
        <f t="shared" si="0"/>
        <v>0</v>
      </c>
      <c r="E14" s="31">
        <v>0</v>
      </c>
      <c r="F14" s="31">
        <v>0</v>
      </c>
      <c r="G14" s="31">
        <v>0</v>
      </c>
      <c r="H14" s="32">
        <f t="shared" si="1"/>
        <v>0</v>
      </c>
      <c r="I14" s="7">
        <f>H14*PARAMETROS!B9</f>
        <v>0</v>
      </c>
      <c r="J14" s="34"/>
    </row>
    <row r="15" spans="1:10" ht="18" customHeight="1" x14ac:dyDescent="0.25">
      <c r="A15" s="14" t="s">
        <v>82</v>
      </c>
      <c r="B15" s="31">
        <v>0</v>
      </c>
      <c r="C15" s="31">
        <v>0</v>
      </c>
      <c r="D15" s="15">
        <f t="shared" si="0"/>
        <v>0</v>
      </c>
      <c r="E15" s="31">
        <v>0</v>
      </c>
      <c r="F15" s="31">
        <v>0</v>
      </c>
      <c r="G15" s="31">
        <v>0</v>
      </c>
      <c r="H15" s="35">
        <f t="shared" si="1"/>
        <v>0</v>
      </c>
      <c r="I15" s="12">
        <f>H15*PARAMETROS!B11</f>
        <v>0</v>
      </c>
      <c r="J15" s="37"/>
    </row>
    <row r="16" spans="1:10" ht="18" customHeight="1" x14ac:dyDescent="0.25">
      <c r="A16" s="9" t="s">
        <v>84</v>
      </c>
      <c r="B16" s="31">
        <v>0</v>
      </c>
      <c r="C16" s="31">
        <v>0</v>
      </c>
      <c r="D16" s="10">
        <f t="shared" si="0"/>
        <v>0</v>
      </c>
      <c r="E16" s="31">
        <v>0</v>
      </c>
      <c r="F16" s="31">
        <v>0</v>
      </c>
      <c r="G16" s="31">
        <v>0</v>
      </c>
      <c r="H16" s="32">
        <f t="shared" si="1"/>
        <v>0</v>
      </c>
      <c r="I16" s="7">
        <f>H16*PARAMETROS!B12</f>
        <v>0</v>
      </c>
      <c r="J16" s="34"/>
    </row>
    <row r="17" spans="1:10" ht="18" customHeight="1" x14ac:dyDescent="0.25">
      <c r="A17" s="14" t="s">
        <v>81</v>
      </c>
      <c r="B17" s="31">
        <v>0</v>
      </c>
      <c r="C17" s="31">
        <v>0</v>
      </c>
      <c r="D17" s="15">
        <f t="shared" si="0"/>
        <v>0</v>
      </c>
      <c r="E17" s="31">
        <v>0</v>
      </c>
      <c r="F17" s="31">
        <v>0</v>
      </c>
      <c r="G17" s="31">
        <v>0</v>
      </c>
      <c r="H17" s="35">
        <f t="shared" si="1"/>
        <v>0</v>
      </c>
      <c r="I17" s="12">
        <f>H17*PARAMETROS!B10</f>
        <v>0</v>
      </c>
      <c r="J17" s="37"/>
    </row>
    <row r="18" spans="1:10" ht="18" customHeight="1" x14ac:dyDescent="0.25">
      <c r="A18" s="9" t="s">
        <v>127</v>
      </c>
      <c r="B18" s="31">
        <v>0</v>
      </c>
      <c r="C18" s="31">
        <v>0</v>
      </c>
      <c r="D18" s="10">
        <f t="shared" si="0"/>
        <v>0</v>
      </c>
      <c r="E18" s="31">
        <v>0</v>
      </c>
      <c r="F18" s="31">
        <v>0</v>
      </c>
      <c r="G18" s="31">
        <v>0</v>
      </c>
      <c r="H18" s="32">
        <f t="shared" si="1"/>
        <v>0</v>
      </c>
      <c r="I18" s="33" t="s">
        <v>122</v>
      </c>
      <c r="J18" s="34"/>
    </row>
    <row r="19" spans="1:10" ht="18" customHeight="1" x14ac:dyDescent="0.25">
      <c r="A19" s="14" t="s">
        <v>128</v>
      </c>
      <c r="B19" s="31">
        <v>0</v>
      </c>
      <c r="C19" s="31">
        <v>0</v>
      </c>
      <c r="D19" s="15">
        <f t="shared" si="0"/>
        <v>0</v>
      </c>
      <c r="E19" s="31">
        <v>0</v>
      </c>
      <c r="F19" s="31">
        <v>0</v>
      </c>
      <c r="G19" s="31">
        <v>0</v>
      </c>
      <c r="H19" s="35">
        <f t="shared" si="1"/>
        <v>0</v>
      </c>
      <c r="I19" s="36" t="s">
        <v>122</v>
      </c>
      <c r="J19" s="37"/>
    </row>
    <row r="20" spans="1:10" ht="20.100000000000001" customHeight="1" x14ac:dyDescent="0.25">
      <c r="A20" s="113" t="s">
        <v>129</v>
      </c>
      <c r="B20" s="105"/>
      <c r="C20" s="105"/>
      <c r="D20" s="105"/>
      <c r="E20" s="42">
        <f>H8-H10</f>
        <v>0</v>
      </c>
      <c r="F20" s="113" t="str">
        <f>IF(E20=0,"✓ CUADRA PERFECTO",IF(ABS(E20)&lt;=2,"⚠ Diferencia marginal — revisar conteo","🚨 HALLAZGO CRÍTICO — Investigar"))</f>
        <v>✓ CUADRA PERFECTO</v>
      </c>
      <c r="G20" s="105"/>
      <c r="H20" s="105"/>
      <c r="I20" s="105"/>
      <c r="J20" s="105"/>
    </row>
    <row r="22" spans="1:10" ht="20.100000000000001" customHeight="1" x14ac:dyDescent="0.25">
      <c r="A22" s="111" t="s">
        <v>130</v>
      </c>
      <c r="B22" s="105"/>
      <c r="C22" s="105"/>
      <c r="D22" s="105"/>
      <c r="E22" s="105"/>
      <c r="F22" s="105"/>
      <c r="G22" s="105"/>
      <c r="H22" s="105"/>
      <c r="I22" s="105"/>
      <c r="J22" s="105"/>
    </row>
    <row r="23" spans="1:10" ht="21.95" customHeight="1" x14ac:dyDescent="0.25">
      <c r="A23" s="16" t="s">
        <v>54</v>
      </c>
      <c r="B23" s="16" t="s">
        <v>131</v>
      </c>
      <c r="C23" s="16" t="s">
        <v>132</v>
      </c>
      <c r="D23" s="16" t="s">
        <v>133</v>
      </c>
      <c r="E23" s="16" t="s">
        <v>56</v>
      </c>
      <c r="F23" s="16" t="s">
        <v>134</v>
      </c>
      <c r="G23" s="16" t="s">
        <v>135</v>
      </c>
      <c r="H23" s="16" t="s">
        <v>136</v>
      </c>
      <c r="I23" s="16" t="s">
        <v>137</v>
      </c>
      <c r="J23" s="16" t="s">
        <v>121</v>
      </c>
    </row>
    <row r="24" spans="1:10" ht="18" customHeight="1" x14ac:dyDescent="0.25">
      <c r="A24" s="6" t="s">
        <v>138</v>
      </c>
      <c r="B24" s="31">
        <v>0</v>
      </c>
      <c r="C24" s="43">
        <f>PARAMETROS!B1</f>
        <v>0</v>
      </c>
      <c r="D24" s="7">
        <f t="shared" ref="D24:D33" si="2">B24*C24</f>
        <v>0</v>
      </c>
      <c r="E24" s="44" t="s">
        <v>61</v>
      </c>
      <c r="F24" s="8">
        <v>1</v>
      </c>
      <c r="G24" s="8">
        <v>0</v>
      </c>
      <c r="H24" s="8">
        <v>0</v>
      </c>
      <c r="I24" s="44" t="s">
        <v>139</v>
      </c>
      <c r="J24" s="34"/>
    </row>
    <row r="25" spans="1:10" ht="18" customHeight="1" x14ac:dyDescent="0.25">
      <c r="A25" s="11" t="s">
        <v>140</v>
      </c>
      <c r="B25" s="31">
        <v>0</v>
      </c>
      <c r="C25" s="45">
        <f>PARAMETROS!B2</f>
        <v>0</v>
      </c>
      <c r="D25" s="12">
        <f t="shared" si="2"/>
        <v>0</v>
      </c>
      <c r="E25" s="46" t="s">
        <v>61</v>
      </c>
      <c r="F25" s="13">
        <v>1</v>
      </c>
      <c r="G25" s="13">
        <v>0</v>
      </c>
      <c r="H25" s="13">
        <v>0</v>
      </c>
      <c r="I25" s="46" t="s">
        <v>139</v>
      </c>
      <c r="J25" s="37"/>
    </row>
    <row r="26" spans="1:10" ht="18" customHeight="1" x14ac:dyDescent="0.25">
      <c r="A26" s="6" t="s">
        <v>141</v>
      </c>
      <c r="B26" s="31">
        <v>0</v>
      </c>
      <c r="C26" s="43">
        <f>PARAMETROS!B3</f>
        <v>0</v>
      </c>
      <c r="D26" s="7">
        <f t="shared" si="2"/>
        <v>0</v>
      </c>
      <c r="E26" s="44" t="s">
        <v>61</v>
      </c>
      <c r="F26" s="8">
        <v>1</v>
      </c>
      <c r="G26" s="8">
        <v>0</v>
      </c>
      <c r="H26" s="8">
        <v>0</v>
      </c>
      <c r="I26" s="44" t="s">
        <v>139</v>
      </c>
      <c r="J26" s="34"/>
    </row>
    <row r="27" spans="1:10" ht="18" customHeight="1" x14ac:dyDescent="0.25">
      <c r="A27" s="11" t="s">
        <v>73</v>
      </c>
      <c r="B27" s="31">
        <v>0</v>
      </c>
      <c r="C27" s="45" t="str">
        <f>PARAMETROS!B5</f>
        <v>Precio Venta</v>
      </c>
      <c r="D27" s="12" t="e">
        <f t="shared" si="2"/>
        <v>#VALUE!</v>
      </c>
      <c r="E27" s="46" t="s">
        <v>74</v>
      </c>
      <c r="F27" s="13">
        <v>1</v>
      </c>
      <c r="G27" s="13">
        <v>1</v>
      </c>
      <c r="H27" s="13">
        <v>1</v>
      </c>
      <c r="I27" s="46" t="s">
        <v>139</v>
      </c>
      <c r="J27" s="37"/>
    </row>
    <row r="28" spans="1:10" ht="18" customHeight="1" x14ac:dyDescent="0.25">
      <c r="A28" s="6" t="s">
        <v>75</v>
      </c>
      <c r="B28" s="31">
        <v>0</v>
      </c>
      <c r="C28" s="43">
        <f>PARAMETROS!B6</f>
        <v>1.5</v>
      </c>
      <c r="D28" s="7">
        <f t="shared" si="2"/>
        <v>0</v>
      </c>
      <c r="E28" s="44" t="s">
        <v>74</v>
      </c>
      <c r="F28" s="8">
        <v>1</v>
      </c>
      <c r="G28" s="8">
        <v>1</v>
      </c>
      <c r="H28" s="8">
        <v>1</v>
      </c>
      <c r="I28" s="44" t="s">
        <v>139</v>
      </c>
      <c r="J28" s="34"/>
    </row>
    <row r="29" spans="1:10" ht="18" customHeight="1" x14ac:dyDescent="0.25">
      <c r="A29" s="11" t="s">
        <v>142</v>
      </c>
      <c r="B29" s="31">
        <v>0</v>
      </c>
      <c r="C29" s="45">
        <f>PARAMETROS!B7</f>
        <v>2</v>
      </c>
      <c r="D29" s="12">
        <f t="shared" si="2"/>
        <v>0</v>
      </c>
      <c r="E29" s="46" t="s">
        <v>77</v>
      </c>
      <c r="F29" s="13">
        <v>0</v>
      </c>
      <c r="G29" s="13">
        <v>1</v>
      </c>
      <c r="H29" s="13">
        <v>0</v>
      </c>
      <c r="I29" s="46" t="s">
        <v>139</v>
      </c>
      <c r="J29" s="37"/>
    </row>
    <row r="30" spans="1:10" ht="18" customHeight="1" x14ac:dyDescent="0.25">
      <c r="A30" s="6" t="s">
        <v>78</v>
      </c>
      <c r="B30" s="31">
        <v>0</v>
      </c>
      <c r="C30" s="43">
        <f>PARAMETROS!B8</f>
        <v>2</v>
      </c>
      <c r="D30" s="7">
        <f t="shared" si="2"/>
        <v>0</v>
      </c>
      <c r="E30" s="44" t="s">
        <v>79</v>
      </c>
      <c r="F30" s="8">
        <v>0</v>
      </c>
      <c r="G30" s="8">
        <v>0</v>
      </c>
      <c r="H30" s="8">
        <v>1</v>
      </c>
      <c r="I30" s="44" t="s">
        <v>139</v>
      </c>
      <c r="J30" s="34"/>
    </row>
    <row r="31" spans="1:10" ht="18" customHeight="1" x14ac:dyDescent="0.25">
      <c r="A31" s="11" t="s">
        <v>82</v>
      </c>
      <c r="B31" s="31">
        <v>0</v>
      </c>
      <c r="C31" s="45">
        <f>PARAMETROS!B11</f>
        <v>3.25</v>
      </c>
      <c r="D31" s="12">
        <f t="shared" si="2"/>
        <v>0</v>
      </c>
      <c r="E31" s="46" t="s">
        <v>83</v>
      </c>
      <c r="F31" s="13">
        <v>0</v>
      </c>
      <c r="G31" s="13">
        <v>0</v>
      </c>
      <c r="H31" s="13">
        <v>0</v>
      </c>
      <c r="I31" s="46" t="s">
        <v>139</v>
      </c>
      <c r="J31" s="37"/>
    </row>
    <row r="32" spans="1:10" ht="18" customHeight="1" x14ac:dyDescent="0.25">
      <c r="A32" s="6" t="s">
        <v>84</v>
      </c>
      <c r="B32" s="31">
        <v>0</v>
      </c>
      <c r="C32" s="43">
        <f>PARAMETROS!B12</f>
        <v>1</v>
      </c>
      <c r="D32" s="7">
        <f t="shared" si="2"/>
        <v>0</v>
      </c>
      <c r="E32" s="44" t="s">
        <v>83</v>
      </c>
      <c r="F32" s="8">
        <v>0</v>
      </c>
      <c r="G32" s="8">
        <v>0</v>
      </c>
      <c r="H32" s="8">
        <v>0</v>
      </c>
      <c r="I32" s="44" t="s">
        <v>139</v>
      </c>
      <c r="J32" s="34"/>
    </row>
    <row r="33" spans="1:10" ht="18" customHeight="1" x14ac:dyDescent="0.25">
      <c r="A33" s="11" t="s">
        <v>81</v>
      </c>
      <c r="B33" s="31">
        <v>0</v>
      </c>
      <c r="C33" s="45">
        <f>PARAMETROS!B10</f>
        <v>2.75</v>
      </c>
      <c r="D33" s="12">
        <f t="shared" si="2"/>
        <v>0</v>
      </c>
      <c r="E33" s="46" t="s">
        <v>79</v>
      </c>
      <c r="F33" s="13">
        <v>0</v>
      </c>
      <c r="G33" s="13">
        <v>0</v>
      </c>
      <c r="H33" s="13">
        <v>0</v>
      </c>
      <c r="I33" s="46" t="s">
        <v>139</v>
      </c>
      <c r="J33" s="37"/>
    </row>
    <row r="34" spans="1:10" ht="20.100000000000001" customHeight="1" x14ac:dyDescent="0.25">
      <c r="A34" s="47" t="s">
        <v>143</v>
      </c>
      <c r="B34" s="5">
        <f>SUM(B24:B33)</f>
        <v>0</v>
      </c>
      <c r="C34" s="48"/>
      <c r="D34" s="49" t="e">
        <f>SUM(D24:D33)</f>
        <v>#VALUE!</v>
      </c>
      <c r="E34" s="48"/>
      <c r="F34" s="48"/>
      <c r="G34" s="48"/>
      <c r="H34" s="48"/>
      <c r="I34" s="48"/>
      <c r="J34" s="48"/>
    </row>
    <row r="36" spans="1:10" ht="20.100000000000001" customHeight="1" x14ac:dyDescent="0.25">
      <c r="A36" s="111" t="s">
        <v>144</v>
      </c>
      <c r="B36" s="105"/>
      <c r="C36" s="105"/>
      <c r="D36" s="105"/>
      <c r="E36" s="105"/>
      <c r="F36" s="105"/>
      <c r="G36" s="105"/>
      <c r="H36" s="105"/>
      <c r="I36" s="105"/>
      <c r="J36" s="105"/>
    </row>
    <row r="37" spans="1:10" ht="18" customHeight="1" x14ac:dyDescent="0.25">
      <c r="A37" s="5" t="s">
        <v>145</v>
      </c>
      <c r="B37" s="5" t="s">
        <v>146</v>
      </c>
      <c r="C37" s="37"/>
      <c r="D37" s="30" t="s">
        <v>147</v>
      </c>
      <c r="E37" s="30" t="s">
        <v>146</v>
      </c>
      <c r="F37" s="30" t="s">
        <v>148</v>
      </c>
      <c r="G37" s="37"/>
      <c r="H37" s="37"/>
      <c r="I37" s="37"/>
      <c r="J37" s="37"/>
    </row>
    <row r="38" spans="1:10" ht="18" customHeight="1" x14ac:dyDescent="0.25">
      <c r="A38" s="50" t="s">
        <v>149</v>
      </c>
      <c r="B38" s="51">
        <v>0</v>
      </c>
      <c r="C38" s="34"/>
      <c r="D38" s="52" t="s">
        <v>150</v>
      </c>
      <c r="E38" s="51">
        <v>0</v>
      </c>
      <c r="F38" s="53"/>
      <c r="G38" s="34"/>
      <c r="H38" s="34"/>
      <c r="I38" s="34"/>
      <c r="J38" s="34"/>
    </row>
    <row r="39" spans="1:10" ht="18" customHeight="1" x14ac:dyDescent="0.25">
      <c r="A39" s="11" t="s">
        <v>151</v>
      </c>
      <c r="B39" s="51">
        <v>0</v>
      </c>
      <c r="C39" s="37"/>
      <c r="D39" s="52" t="s">
        <v>152</v>
      </c>
      <c r="E39" s="51">
        <v>0</v>
      </c>
      <c r="F39" s="53"/>
      <c r="G39" s="37"/>
      <c r="H39" s="37"/>
      <c r="I39" s="37"/>
      <c r="J39" s="37"/>
    </row>
    <row r="40" spans="1:10" ht="18" customHeight="1" x14ac:dyDescent="0.25">
      <c r="A40" s="6" t="s">
        <v>153</v>
      </c>
      <c r="B40" s="51">
        <v>0</v>
      </c>
      <c r="C40" s="34"/>
      <c r="D40" s="52" t="s">
        <v>154</v>
      </c>
      <c r="E40" s="51">
        <v>0</v>
      </c>
      <c r="F40" s="53"/>
      <c r="G40" s="34"/>
      <c r="H40" s="34"/>
      <c r="I40" s="34"/>
      <c r="J40" s="34"/>
    </row>
    <row r="41" spans="1:10" ht="18" customHeight="1" x14ac:dyDescent="0.25">
      <c r="A41" s="11" t="s">
        <v>155</v>
      </c>
      <c r="B41" s="51">
        <v>0</v>
      </c>
      <c r="C41" s="37"/>
      <c r="D41" s="52" t="s">
        <v>156</v>
      </c>
      <c r="E41" s="51">
        <v>0</v>
      </c>
      <c r="F41" s="53"/>
      <c r="G41" s="37"/>
      <c r="H41" s="37"/>
      <c r="I41" s="37"/>
      <c r="J41" s="37"/>
    </row>
    <row r="42" spans="1:10" ht="18" customHeight="1" x14ac:dyDescent="0.25">
      <c r="A42" s="34"/>
      <c r="B42" s="34"/>
      <c r="C42" s="34"/>
      <c r="D42" s="52" t="s">
        <v>157</v>
      </c>
      <c r="E42" s="51">
        <v>0</v>
      </c>
      <c r="F42" s="53"/>
      <c r="G42" s="34"/>
      <c r="H42" s="34"/>
      <c r="I42" s="34"/>
      <c r="J42" s="34"/>
    </row>
    <row r="43" spans="1:10" ht="18" customHeight="1" x14ac:dyDescent="0.25">
      <c r="A43" s="37"/>
      <c r="B43" s="37"/>
      <c r="C43" s="37"/>
      <c r="D43" s="52" t="s">
        <v>158</v>
      </c>
      <c r="E43" s="51">
        <v>0</v>
      </c>
      <c r="F43" s="53"/>
      <c r="G43" s="37"/>
      <c r="H43" s="37"/>
      <c r="I43" s="37"/>
      <c r="J43" s="37"/>
    </row>
    <row r="44" spans="1:10" ht="18" customHeight="1" x14ac:dyDescent="0.25">
      <c r="A44" s="34"/>
      <c r="B44" s="34"/>
      <c r="C44" s="34"/>
      <c r="D44" s="52" t="s">
        <v>159</v>
      </c>
      <c r="E44" s="51">
        <v>0</v>
      </c>
      <c r="F44" s="53"/>
      <c r="G44" s="34"/>
      <c r="H44" s="34"/>
      <c r="I44" s="34"/>
      <c r="J44" s="34"/>
    </row>
    <row r="45" spans="1:10" ht="18" customHeight="1" x14ac:dyDescent="0.25">
      <c r="A45" s="37"/>
      <c r="B45" s="37"/>
      <c r="C45" s="37"/>
      <c r="D45" s="52" t="s">
        <v>160</v>
      </c>
      <c r="E45" s="51">
        <v>0</v>
      </c>
      <c r="F45" s="53"/>
      <c r="G45" s="37"/>
      <c r="H45" s="37"/>
      <c r="I45" s="37"/>
      <c r="J45" s="37"/>
    </row>
    <row r="46" spans="1:10" ht="20.100000000000001" customHeight="1" x14ac:dyDescent="0.25">
      <c r="A46" s="54" t="s">
        <v>161</v>
      </c>
      <c r="B46" s="55">
        <f>SUM(B38:B45)</f>
        <v>0</v>
      </c>
      <c r="C46" s="56"/>
      <c r="D46" s="54" t="s">
        <v>162</v>
      </c>
      <c r="E46" s="55">
        <f>SUM(E38:E45)</f>
        <v>0</v>
      </c>
      <c r="F46" s="56"/>
      <c r="G46" s="56"/>
      <c r="H46" s="56"/>
      <c r="I46" s="56"/>
      <c r="J46" s="56"/>
    </row>
    <row r="47" spans="1:10" ht="18" customHeight="1" x14ac:dyDescent="0.25">
      <c r="A47" s="25" t="s">
        <v>163</v>
      </c>
      <c r="B47" s="57">
        <v>0</v>
      </c>
      <c r="C47" s="37"/>
      <c r="D47" s="37"/>
      <c r="E47" s="37"/>
      <c r="F47" s="37"/>
      <c r="G47" s="37"/>
      <c r="H47" s="37"/>
      <c r="I47" s="37"/>
      <c r="J47" s="37"/>
    </row>
    <row r="48" spans="1:10" ht="18" customHeight="1" x14ac:dyDescent="0.25">
      <c r="A48" s="25" t="s">
        <v>164</v>
      </c>
      <c r="B48" s="57">
        <v>0</v>
      </c>
      <c r="C48" s="37"/>
      <c r="D48" s="37"/>
      <c r="E48" s="37"/>
      <c r="F48" s="37"/>
      <c r="G48" s="37"/>
      <c r="H48" s="37"/>
      <c r="I48" s="37"/>
      <c r="J48" s="37"/>
    </row>
    <row r="49" spans="1:10" ht="24" customHeight="1" x14ac:dyDescent="0.25">
      <c r="A49" s="116" t="s">
        <v>165</v>
      </c>
      <c r="B49" s="59">
        <f>B38+B39+B40+B41+E46-B47</f>
        <v>0</v>
      </c>
      <c r="C49" s="123" t="str">
        <f>IF(B48&gt;0,"Vuelto final: $"&amp;TEXT(B48,"#,##0.00")&amp;" | Var: $"&amp;TEXT(B48-B47,"#,##0.00"),"")</f>
        <v/>
      </c>
      <c r="D49" s="124"/>
      <c r="E49" s="124"/>
      <c r="F49" s="124"/>
      <c r="G49" s="124"/>
      <c r="H49" s="124"/>
      <c r="I49" s="124"/>
      <c r="J49" s="125"/>
    </row>
    <row r="51" spans="1:10" ht="20.100000000000001" customHeight="1" x14ac:dyDescent="0.25">
      <c r="A51" s="111" t="s">
        <v>166</v>
      </c>
      <c r="B51" s="105"/>
      <c r="C51" s="105"/>
      <c r="D51" s="105"/>
      <c r="E51" s="105"/>
      <c r="F51" s="105"/>
      <c r="G51" s="105"/>
      <c r="H51" s="105"/>
      <c r="I51" s="105"/>
      <c r="J51" s="105"/>
    </row>
    <row r="52" spans="1:10" ht="21.95" customHeight="1" x14ac:dyDescent="0.25">
      <c r="A52" s="16" t="s">
        <v>54</v>
      </c>
      <c r="B52" s="16" t="s">
        <v>56</v>
      </c>
      <c r="C52" s="16" t="s">
        <v>131</v>
      </c>
      <c r="D52" s="16" t="s">
        <v>132</v>
      </c>
      <c r="E52" s="16" t="s">
        <v>133</v>
      </c>
      <c r="F52" s="16" t="s">
        <v>137</v>
      </c>
      <c r="G52" s="16"/>
      <c r="H52" s="16"/>
      <c r="I52" s="16"/>
      <c r="J52" s="16" t="s">
        <v>121</v>
      </c>
    </row>
    <row r="53" spans="1:10" ht="18" customHeight="1" x14ac:dyDescent="0.25">
      <c r="A53" s="6" t="s">
        <v>138</v>
      </c>
      <c r="B53" s="44" t="s">
        <v>167</v>
      </c>
      <c r="C53" s="60">
        <f t="shared" ref="C53:C62" si="3">B24</f>
        <v>0</v>
      </c>
      <c r="D53" s="43">
        <f>PARAMETROS!B1</f>
        <v>0</v>
      </c>
      <c r="E53" s="61">
        <f t="shared" ref="E53:E62" si="4">C53*D53</f>
        <v>0</v>
      </c>
      <c r="F53" s="44" t="s">
        <v>139</v>
      </c>
      <c r="G53" s="34"/>
      <c r="H53" s="34"/>
      <c r="I53" s="34"/>
      <c r="J53" s="34"/>
    </row>
    <row r="54" spans="1:10" ht="18" customHeight="1" x14ac:dyDescent="0.25">
      <c r="A54" s="11" t="s">
        <v>140</v>
      </c>
      <c r="B54" s="46" t="s">
        <v>168</v>
      </c>
      <c r="C54" s="60">
        <f t="shared" si="3"/>
        <v>0</v>
      </c>
      <c r="D54" s="45">
        <f>PARAMETROS!B2</f>
        <v>0</v>
      </c>
      <c r="E54" s="62">
        <f t="shared" si="4"/>
        <v>0</v>
      </c>
      <c r="F54" s="46" t="s">
        <v>139</v>
      </c>
      <c r="G54" s="37"/>
      <c r="H54" s="37"/>
      <c r="I54" s="37"/>
      <c r="J54" s="37"/>
    </row>
    <row r="55" spans="1:10" ht="18" customHeight="1" x14ac:dyDescent="0.25">
      <c r="A55" s="6" t="s">
        <v>141</v>
      </c>
      <c r="B55" s="44" t="s">
        <v>169</v>
      </c>
      <c r="C55" s="60">
        <f t="shared" si="3"/>
        <v>0</v>
      </c>
      <c r="D55" s="43">
        <f>PARAMETROS!B3</f>
        <v>0</v>
      </c>
      <c r="E55" s="61">
        <f t="shared" si="4"/>
        <v>0</v>
      </c>
      <c r="F55" s="44" t="s">
        <v>139</v>
      </c>
      <c r="G55" s="34"/>
      <c r="H55" s="34"/>
      <c r="I55" s="34"/>
      <c r="J55" s="34"/>
    </row>
    <row r="56" spans="1:10" ht="18" customHeight="1" x14ac:dyDescent="0.25">
      <c r="A56" s="11" t="s">
        <v>73</v>
      </c>
      <c r="B56" s="46" t="s">
        <v>170</v>
      </c>
      <c r="C56" s="60">
        <f t="shared" si="3"/>
        <v>0</v>
      </c>
      <c r="D56" s="45" t="str">
        <f>PARAMETROS!B5</f>
        <v>Precio Venta</v>
      </c>
      <c r="E56" s="62" t="e">
        <f t="shared" si="4"/>
        <v>#VALUE!</v>
      </c>
      <c r="F56" s="46" t="s">
        <v>139</v>
      </c>
      <c r="G56" s="37"/>
      <c r="H56" s="37"/>
      <c r="I56" s="37"/>
      <c r="J56" s="37"/>
    </row>
    <row r="57" spans="1:10" ht="18" customHeight="1" x14ac:dyDescent="0.25">
      <c r="A57" s="6" t="s">
        <v>75</v>
      </c>
      <c r="B57" s="44" t="s">
        <v>171</v>
      </c>
      <c r="C57" s="60">
        <f t="shared" si="3"/>
        <v>0</v>
      </c>
      <c r="D57" s="43">
        <f>PARAMETROS!B6</f>
        <v>1.5</v>
      </c>
      <c r="E57" s="61">
        <f t="shared" si="4"/>
        <v>0</v>
      </c>
      <c r="F57" s="44" t="s">
        <v>139</v>
      </c>
      <c r="G57" s="34"/>
      <c r="H57" s="34"/>
      <c r="I57" s="34"/>
      <c r="J57" s="34"/>
    </row>
    <row r="58" spans="1:10" ht="18" customHeight="1" x14ac:dyDescent="0.25">
      <c r="A58" s="11" t="s">
        <v>142</v>
      </c>
      <c r="B58" s="46" t="s">
        <v>172</v>
      </c>
      <c r="C58" s="60">
        <f t="shared" si="3"/>
        <v>0</v>
      </c>
      <c r="D58" s="45">
        <f>PARAMETROS!B7</f>
        <v>2</v>
      </c>
      <c r="E58" s="62">
        <f t="shared" si="4"/>
        <v>0</v>
      </c>
      <c r="F58" s="46" t="s">
        <v>139</v>
      </c>
      <c r="G58" s="37"/>
      <c r="H58" s="37"/>
      <c r="I58" s="37"/>
      <c r="J58" s="37"/>
    </row>
    <row r="59" spans="1:10" ht="18" customHeight="1" x14ac:dyDescent="0.25">
      <c r="A59" s="6" t="s">
        <v>78</v>
      </c>
      <c r="B59" s="44" t="s">
        <v>126</v>
      </c>
      <c r="C59" s="60">
        <f t="shared" si="3"/>
        <v>0</v>
      </c>
      <c r="D59" s="43">
        <f>PARAMETROS!B8</f>
        <v>2</v>
      </c>
      <c r="E59" s="61">
        <f t="shared" si="4"/>
        <v>0</v>
      </c>
      <c r="F59" s="44" t="s">
        <v>139</v>
      </c>
      <c r="G59" s="34"/>
      <c r="H59" s="34"/>
      <c r="I59" s="34"/>
      <c r="J59" s="34"/>
    </row>
    <row r="60" spans="1:10" ht="18" customHeight="1" x14ac:dyDescent="0.25">
      <c r="A60" s="11" t="s">
        <v>82</v>
      </c>
      <c r="B60" s="46" t="s">
        <v>83</v>
      </c>
      <c r="C60" s="60">
        <f t="shared" si="3"/>
        <v>0</v>
      </c>
      <c r="D60" s="45">
        <f>PARAMETROS!B11</f>
        <v>3.25</v>
      </c>
      <c r="E60" s="62">
        <f t="shared" si="4"/>
        <v>0</v>
      </c>
      <c r="F60" s="46" t="s">
        <v>139</v>
      </c>
      <c r="G60" s="37"/>
      <c r="H60" s="37"/>
      <c r="I60" s="37"/>
      <c r="J60" s="37"/>
    </row>
    <row r="61" spans="1:10" ht="18" customHeight="1" x14ac:dyDescent="0.25">
      <c r="A61" s="6" t="s">
        <v>84</v>
      </c>
      <c r="B61" s="44" t="s">
        <v>83</v>
      </c>
      <c r="C61" s="60">
        <f t="shared" si="3"/>
        <v>0</v>
      </c>
      <c r="D61" s="43">
        <f>PARAMETROS!B12</f>
        <v>1</v>
      </c>
      <c r="E61" s="61">
        <f t="shared" si="4"/>
        <v>0</v>
      </c>
      <c r="F61" s="44" t="s">
        <v>139</v>
      </c>
      <c r="G61" s="34"/>
      <c r="H61" s="34"/>
      <c r="I61" s="34"/>
      <c r="J61" s="34"/>
    </row>
    <row r="62" spans="1:10" ht="18" customHeight="1" x14ac:dyDescent="0.25">
      <c r="A62" s="11" t="s">
        <v>81</v>
      </c>
      <c r="B62" s="46" t="s">
        <v>79</v>
      </c>
      <c r="C62" s="60">
        <f t="shared" si="3"/>
        <v>0</v>
      </c>
      <c r="D62" s="45">
        <f>PARAMETROS!B10</f>
        <v>2.75</v>
      </c>
      <c r="E62" s="62">
        <f t="shared" si="4"/>
        <v>0</v>
      </c>
      <c r="F62" s="46" t="s">
        <v>139</v>
      </c>
      <c r="G62" s="37"/>
      <c r="H62" s="37"/>
      <c r="I62" s="37"/>
      <c r="J62" s="37"/>
    </row>
    <row r="63" spans="1:10" ht="20.100000000000001" customHeight="1" x14ac:dyDescent="0.25">
      <c r="A63" s="63" t="s">
        <v>173</v>
      </c>
      <c r="B63" s="64"/>
      <c r="C63" s="65">
        <f>SUM(C53:C62)</f>
        <v>0</v>
      </c>
      <c r="D63" s="64"/>
      <c r="E63" s="66" t="e">
        <f>SUM(E53:E62)</f>
        <v>#VALUE!</v>
      </c>
      <c r="F63" s="64"/>
      <c r="G63" s="64"/>
      <c r="H63" s="64"/>
      <c r="I63" s="64"/>
      <c r="J63" s="64"/>
    </row>
    <row r="64" spans="1:10" ht="18" customHeight="1" x14ac:dyDescent="0.25">
      <c r="A64" s="67" t="s">
        <v>174</v>
      </c>
      <c r="B64" s="68" t="s">
        <v>167</v>
      </c>
      <c r="C64" s="69">
        <f>MAX(0,H12-(B24+B25+B26+B27+B28))</f>
        <v>0</v>
      </c>
      <c r="D64" s="70">
        <f>PARAMETROS!B1</f>
        <v>0</v>
      </c>
      <c r="E64" s="71">
        <f>C64*D64</f>
        <v>0</v>
      </c>
      <c r="F64" s="68" t="s">
        <v>175</v>
      </c>
      <c r="G64" s="72"/>
      <c r="H64" s="72"/>
      <c r="I64" s="72"/>
      <c r="J64" s="72"/>
    </row>
    <row r="65" spans="1:10" ht="18" customHeight="1" x14ac:dyDescent="0.25">
      <c r="A65" s="67" t="s">
        <v>176</v>
      </c>
      <c r="B65" s="68" t="s">
        <v>172</v>
      </c>
      <c r="C65" s="69">
        <f>MAX(0,H13-(B29+B27+B28))</f>
        <v>0</v>
      </c>
      <c r="D65" s="70">
        <f>PARAMETROS!B7</f>
        <v>2</v>
      </c>
      <c r="E65" s="71">
        <f>C65*D65</f>
        <v>0</v>
      </c>
      <c r="F65" s="68" t="s">
        <v>175</v>
      </c>
      <c r="G65" s="72"/>
      <c r="H65" s="72"/>
      <c r="I65" s="72"/>
      <c r="J65" s="72"/>
    </row>
    <row r="66" spans="1:10" ht="18" customHeight="1" x14ac:dyDescent="0.25">
      <c r="A66" s="67" t="s">
        <v>177</v>
      </c>
      <c r="B66" s="68" t="s">
        <v>126</v>
      </c>
      <c r="C66" s="69">
        <f>H14</f>
        <v>0</v>
      </c>
      <c r="D66" s="70">
        <f>PARAMETROS!B9</f>
        <v>1</v>
      </c>
      <c r="E66" s="71">
        <f>C66*D66</f>
        <v>0</v>
      </c>
      <c r="F66" s="68" t="s">
        <v>175</v>
      </c>
      <c r="G66" s="72"/>
      <c r="H66" s="72"/>
      <c r="I66" s="72"/>
      <c r="J66" s="72"/>
    </row>
    <row r="67" spans="1:10" ht="20.100000000000001" customHeight="1" x14ac:dyDescent="0.25">
      <c r="A67" s="73" t="s">
        <v>178</v>
      </c>
      <c r="B67" s="72"/>
      <c r="C67" s="22">
        <f>SUM(C64:C66)</f>
        <v>0</v>
      </c>
      <c r="D67" s="72"/>
      <c r="E67" s="74">
        <f>SUM(E64:E66)</f>
        <v>0</v>
      </c>
      <c r="F67" s="72"/>
      <c r="G67" s="72"/>
      <c r="H67" s="72"/>
      <c r="I67" s="72"/>
      <c r="J67" s="72"/>
    </row>
    <row r="68" spans="1:10" ht="24" customHeight="1" x14ac:dyDescent="0.25">
      <c r="A68" s="58" t="s">
        <v>179</v>
      </c>
      <c r="B68" s="75"/>
      <c r="C68" s="76">
        <f>C63+C67</f>
        <v>0</v>
      </c>
      <c r="D68" s="75"/>
      <c r="E68" s="59" t="e">
        <f>E63+E67</f>
        <v>#VALUE!</v>
      </c>
      <c r="F68" s="75"/>
      <c r="G68" s="75"/>
      <c r="H68" s="75"/>
      <c r="I68" s="75"/>
      <c r="J68" s="75"/>
    </row>
    <row r="70" spans="1:10" ht="20.100000000000001" customHeight="1" x14ac:dyDescent="0.25">
      <c r="A70" s="111" t="s">
        <v>180</v>
      </c>
      <c r="B70" s="105"/>
      <c r="C70" s="105"/>
      <c r="D70" s="105"/>
      <c r="E70" s="105"/>
      <c r="F70" s="105"/>
      <c r="G70" s="105"/>
      <c r="H70" s="105"/>
      <c r="I70" s="105"/>
      <c r="J70" s="105"/>
    </row>
    <row r="71" spans="1:10" ht="21.95" customHeight="1" x14ac:dyDescent="0.25">
      <c r="A71" s="16" t="s">
        <v>181</v>
      </c>
      <c r="B71" s="16" t="s">
        <v>182</v>
      </c>
      <c r="C71" s="16" t="s">
        <v>183</v>
      </c>
      <c r="D71" s="16" t="s">
        <v>184</v>
      </c>
      <c r="E71" s="16"/>
      <c r="F71" s="16"/>
      <c r="G71" s="16"/>
      <c r="H71" s="16"/>
      <c r="I71" s="16"/>
      <c r="J71" s="16"/>
    </row>
    <row r="72" spans="1:10" ht="24" customHeight="1" x14ac:dyDescent="0.25">
      <c r="A72" s="77" t="s">
        <v>185</v>
      </c>
      <c r="B72" s="78" t="s">
        <v>122</v>
      </c>
      <c r="C72" s="59">
        <f>B49</f>
        <v>0</v>
      </c>
      <c r="D72" s="122" t="s">
        <v>186</v>
      </c>
      <c r="E72" s="105"/>
      <c r="F72" s="105"/>
      <c r="G72" s="105"/>
      <c r="H72" s="105"/>
      <c r="I72" s="105"/>
      <c r="J72" s="105"/>
    </row>
    <row r="73" spans="1:10" ht="21.95" customHeight="1" x14ac:dyDescent="0.25">
      <c r="A73" s="79" t="s">
        <v>187</v>
      </c>
      <c r="B73" s="80">
        <f>H12</f>
        <v>0</v>
      </c>
      <c r="C73" s="81" t="e">
        <f>E68</f>
        <v>#VALUE!</v>
      </c>
      <c r="D73" s="112" t="s">
        <v>188</v>
      </c>
      <c r="E73" s="105"/>
      <c r="F73" s="105"/>
      <c r="G73" s="105"/>
      <c r="H73" s="105"/>
      <c r="I73" s="105"/>
      <c r="J73" s="105"/>
    </row>
    <row r="74" spans="1:10" ht="21.95" customHeight="1" x14ac:dyDescent="0.25">
      <c r="A74" s="79" t="s">
        <v>189</v>
      </c>
      <c r="B74" s="80">
        <f>H12+H13+H14</f>
        <v>0</v>
      </c>
      <c r="C74" s="81" t="e">
        <f>E68</f>
        <v>#VALUE!</v>
      </c>
      <c r="D74" s="112" t="s">
        <v>190</v>
      </c>
      <c r="E74" s="105"/>
      <c r="F74" s="105"/>
      <c r="G74" s="105"/>
      <c r="H74" s="105"/>
      <c r="I74" s="105"/>
      <c r="J74" s="105"/>
    </row>
    <row r="75" spans="1:10" ht="24" customHeight="1" x14ac:dyDescent="0.25">
      <c r="A75" s="82" t="s">
        <v>191</v>
      </c>
      <c r="B75" s="83" t="s">
        <v>122</v>
      </c>
      <c r="C75" s="84" t="e">
        <f>B49-E68</f>
        <v>#VALUE!</v>
      </c>
      <c r="D75" s="120" t="e">
        <f>IF(C75=0,"✓ PERFECTO — Brecha $0",IF(C75&gt;0,IF(C75&lt;=5,"🟢 SOBRANTE VERDE — Día sano",IF(C75&lt;=10,"🟡 SOBRANTE AMARILLO — Monitorear",IF(C75&lt;=15,"🟠 SOBRANTE NARANJA — Revisar autopréstamo","🔴 SOBRANTE ROJO — Acción inmediata"))),IF(ABS(C75)&lt;=5,"🟡 FALTANTE AMARILLO — Revisar conteo",IF(ABS(C75)&lt;=10,"🟠 FALTANTE NARANJA — Investigar","🔴 FALTANTE ROJO — Acción inmediata"))))</f>
        <v>#VALUE!</v>
      </c>
      <c r="E75" s="105"/>
      <c r="F75" s="105"/>
      <c r="G75" s="105"/>
      <c r="H75" s="105"/>
      <c r="I75" s="105"/>
      <c r="J75" s="105"/>
    </row>
    <row r="77" spans="1:10" ht="20.100000000000001" customHeight="1" x14ac:dyDescent="0.25">
      <c r="A77" s="111" t="s">
        <v>192</v>
      </c>
      <c r="B77" s="105"/>
      <c r="C77" s="105"/>
      <c r="D77" s="105"/>
      <c r="E77" s="105"/>
      <c r="F77" s="105"/>
      <c r="G77" s="105"/>
      <c r="H77" s="105"/>
      <c r="I77" s="105"/>
      <c r="J77" s="105"/>
    </row>
    <row r="78" spans="1:10" ht="21.95" customHeight="1" x14ac:dyDescent="0.25">
      <c r="A78" s="16" t="s">
        <v>193</v>
      </c>
      <c r="B78" s="16" t="s">
        <v>146</v>
      </c>
      <c r="C78" s="16" t="s">
        <v>194</v>
      </c>
    </row>
    <row r="79" spans="1:10" x14ac:dyDescent="0.25">
      <c r="A79" s="6" t="s">
        <v>195</v>
      </c>
      <c r="B79" s="85">
        <f>PARAMETROS!B32</f>
        <v>45</v>
      </c>
      <c r="C79" s="114" t="s">
        <v>196</v>
      </c>
      <c r="D79" s="105"/>
      <c r="E79" s="105"/>
      <c r="F79" s="105"/>
      <c r="G79" s="105"/>
      <c r="H79" s="105"/>
      <c r="I79" s="105"/>
      <c r="J79" s="105"/>
    </row>
    <row r="80" spans="1:10" x14ac:dyDescent="0.25">
      <c r="A80" s="11" t="s">
        <v>197</v>
      </c>
      <c r="B80" s="86">
        <f>B47</f>
        <v>0</v>
      </c>
      <c r="C80" s="117" t="s">
        <v>198</v>
      </c>
      <c r="D80" s="105"/>
      <c r="E80" s="105"/>
      <c r="F80" s="105"/>
      <c r="G80" s="105"/>
      <c r="H80" s="105"/>
      <c r="I80" s="105"/>
      <c r="J80" s="105"/>
    </row>
    <row r="81" spans="1:10" x14ac:dyDescent="0.25">
      <c r="A81" s="6" t="s">
        <v>199</v>
      </c>
      <c r="B81" s="85">
        <f>B48</f>
        <v>0</v>
      </c>
      <c r="C81" s="114" t="s">
        <v>200</v>
      </c>
      <c r="D81" s="105"/>
      <c r="E81" s="105"/>
      <c r="F81" s="105"/>
      <c r="G81" s="105"/>
      <c r="H81" s="105"/>
      <c r="I81" s="105"/>
      <c r="J81" s="105"/>
    </row>
    <row r="82" spans="1:10" x14ac:dyDescent="0.25">
      <c r="A82" s="87" t="s">
        <v>201</v>
      </c>
      <c r="B82" s="88">
        <f>B48-B47</f>
        <v>0</v>
      </c>
      <c r="C82" s="119" t="s">
        <v>202</v>
      </c>
      <c r="D82" s="105"/>
      <c r="E82" s="105"/>
      <c r="F82" s="105"/>
      <c r="G82" s="105"/>
      <c r="H82" s="105"/>
      <c r="I82" s="105"/>
      <c r="J82" s="105"/>
    </row>
  </sheetData>
  <mergeCells count="23">
    <mergeCell ref="C82:J82"/>
    <mergeCell ref="D75:J75"/>
    <mergeCell ref="C81:J81"/>
    <mergeCell ref="H4:J4"/>
    <mergeCell ref="D72:J72"/>
    <mergeCell ref="C49:J49"/>
    <mergeCell ref="A1:J1"/>
    <mergeCell ref="A36:J36"/>
    <mergeCell ref="A6:J6"/>
    <mergeCell ref="A70:J70"/>
    <mergeCell ref="A4:B4"/>
    <mergeCell ref="A2:J2"/>
    <mergeCell ref="E4:F4"/>
    <mergeCell ref="F20:J20"/>
    <mergeCell ref="A77:J77"/>
    <mergeCell ref="A49"/>
    <mergeCell ref="C80:J80"/>
    <mergeCell ref="A51:J51"/>
    <mergeCell ref="A22:J22"/>
    <mergeCell ref="D74:J74"/>
    <mergeCell ref="A20:D20"/>
    <mergeCell ref="D73:J73"/>
    <mergeCell ref="C79:J7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4"/>
  <sheetViews>
    <sheetView showGridLines="0" workbookViewId="0">
      <pane xSplit="4" ySplit="3" topLeftCell="E4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8" customWidth="1"/>
    <col min="2" max="2" width="14" customWidth="1"/>
    <col min="3" max="4" width="18" customWidth="1"/>
    <col min="5" max="34" width="14" customWidth="1"/>
    <col min="35" max="36" width="18" customWidth="1"/>
  </cols>
  <sheetData>
    <row r="1" spans="1:36" ht="32.1" customHeight="1" x14ac:dyDescent="0.25">
      <c r="A1" s="104" t="s">
        <v>203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</row>
    <row r="2" spans="1:36" ht="14.1" customHeight="1" x14ac:dyDescent="0.25"/>
    <row r="3" spans="1:36" ht="27.95" customHeight="1" x14ac:dyDescent="0.25">
      <c r="A3" s="16" t="s">
        <v>204</v>
      </c>
      <c r="B3" s="16" t="s">
        <v>205</v>
      </c>
      <c r="C3" s="16" t="s">
        <v>206</v>
      </c>
      <c r="D3" s="16" t="s">
        <v>207</v>
      </c>
      <c r="E3" s="16" t="s">
        <v>208</v>
      </c>
      <c r="F3" s="16" t="s">
        <v>209</v>
      </c>
      <c r="G3" s="16" t="s">
        <v>210</v>
      </c>
      <c r="H3" s="16" t="s">
        <v>211</v>
      </c>
      <c r="I3" s="16" t="s">
        <v>212</v>
      </c>
      <c r="J3" s="16" t="s">
        <v>213</v>
      </c>
      <c r="K3" s="16" t="s">
        <v>214</v>
      </c>
      <c r="L3" s="16" t="s">
        <v>215</v>
      </c>
      <c r="M3" s="16" t="s">
        <v>216</v>
      </c>
      <c r="N3" s="16" t="s">
        <v>217</v>
      </c>
      <c r="O3" s="16" t="s">
        <v>218</v>
      </c>
      <c r="P3" s="16" t="s">
        <v>219</v>
      </c>
      <c r="Q3" s="16" t="s">
        <v>220</v>
      </c>
      <c r="R3" s="16" t="s">
        <v>221</v>
      </c>
      <c r="S3" s="16" t="s">
        <v>222</v>
      </c>
      <c r="T3" s="16" t="s">
        <v>223</v>
      </c>
      <c r="U3" s="16" t="s">
        <v>224</v>
      </c>
      <c r="V3" s="16" t="s">
        <v>151</v>
      </c>
      <c r="W3" s="16" t="s">
        <v>153</v>
      </c>
      <c r="X3" s="16" t="s">
        <v>155</v>
      </c>
      <c r="Y3" s="16" t="s">
        <v>225</v>
      </c>
      <c r="Z3" s="16" t="s">
        <v>226</v>
      </c>
      <c r="AA3" s="16" t="s">
        <v>227</v>
      </c>
      <c r="AB3" s="16" t="s">
        <v>228</v>
      </c>
      <c r="AC3" s="16" t="s">
        <v>229</v>
      </c>
      <c r="AD3" s="16" t="s">
        <v>230</v>
      </c>
      <c r="AE3" s="16" t="s">
        <v>231</v>
      </c>
      <c r="AF3" s="16" t="s">
        <v>232</v>
      </c>
      <c r="AG3" s="16" t="s">
        <v>233</v>
      </c>
      <c r="AH3" s="16" t="s">
        <v>234</v>
      </c>
      <c r="AI3" s="16" t="s">
        <v>235</v>
      </c>
      <c r="AJ3" s="16" t="s">
        <v>121</v>
      </c>
    </row>
    <row r="4" spans="1:36" ht="18" customHeight="1" x14ac:dyDescent="0.25">
      <c r="A4" s="89">
        <v>46096</v>
      </c>
      <c r="B4" s="13" t="s">
        <v>236</v>
      </c>
      <c r="C4" s="13" t="s">
        <v>111</v>
      </c>
      <c r="D4" s="13" t="s">
        <v>237</v>
      </c>
      <c r="E4" s="90">
        <v>229</v>
      </c>
      <c r="F4" s="90">
        <v>222</v>
      </c>
      <c r="G4" s="90">
        <v>0</v>
      </c>
      <c r="H4" s="90">
        <v>222</v>
      </c>
      <c r="I4" s="90">
        <v>84</v>
      </c>
      <c r="J4" s="90">
        <v>31</v>
      </c>
      <c r="K4" s="90">
        <v>160</v>
      </c>
      <c r="L4" s="90">
        <v>0</v>
      </c>
      <c r="M4" s="90">
        <v>0</v>
      </c>
      <c r="N4" s="90">
        <v>28</v>
      </c>
      <c r="O4" s="90">
        <v>0</v>
      </c>
      <c r="P4" s="90">
        <v>45</v>
      </c>
      <c r="Q4" s="90">
        <v>0</v>
      </c>
      <c r="R4" s="90">
        <v>1</v>
      </c>
      <c r="S4" s="90">
        <v>0</v>
      </c>
      <c r="T4" s="90">
        <v>0</v>
      </c>
      <c r="U4" s="12">
        <v>246.38</v>
      </c>
      <c r="V4" s="90">
        <v>6.5</v>
      </c>
      <c r="W4" s="90">
        <v>0</v>
      </c>
      <c r="X4" s="90">
        <v>0</v>
      </c>
      <c r="Y4" s="12">
        <v>211.27</v>
      </c>
      <c r="Z4" s="12">
        <v>24.15</v>
      </c>
      <c r="AA4" s="12">
        <v>43.35</v>
      </c>
      <c r="AB4" s="12">
        <v>19.2</v>
      </c>
      <c r="AC4" s="12">
        <v>440</v>
      </c>
      <c r="AD4" s="12">
        <v>428.75</v>
      </c>
      <c r="AE4" s="12">
        <v>11.25</v>
      </c>
      <c r="AF4" s="13" t="s">
        <v>238</v>
      </c>
      <c r="AG4" s="13" t="s">
        <v>239</v>
      </c>
      <c r="AH4" s="90">
        <v>7</v>
      </c>
      <c r="AI4" s="13"/>
      <c r="AJ4" s="13" t="s">
        <v>240</v>
      </c>
    </row>
  </sheetData>
  <mergeCells count="1">
    <mergeCell ref="A1:A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9"/>
  <sheetViews>
    <sheetView showGridLines="0" workbookViewId="0"/>
  </sheetViews>
  <sheetFormatPr baseColWidth="10" defaultColWidth="9.140625" defaultRowHeight="15" x14ac:dyDescent="0.25"/>
  <cols>
    <col min="1" max="10" width="18" customWidth="1"/>
  </cols>
  <sheetData>
    <row r="1" spans="1:10" ht="36" customHeight="1" x14ac:dyDescent="0.25">
      <c r="A1" s="126" t="s">
        <v>241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0" x14ac:dyDescent="0.25">
      <c r="A2" s="127" t="s">
        <v>242</v>
      </c>
      <c r="B2" s="105"/>
      <c r="C2" s="105"/>
      <c r="D2" s="105"/>
      <c r="E2" s="105"/>
      <c r="F2" s="105"/>
      <c r="G2" s="105"/>
      <c r="H2" s="105"/>
      <c r="I2" s="105"/>
      <c r="J2" s="105"/>
    </row>
    <row r="4" spans="1:10" ht="20.100000000000001" customHeight="1" x14ac:dyDescent="0.25">
      <c r="A4" s="110" t="s">
        <v>243</v>
      </c>
      <c r="B4" s="105"/>
      <c r="C4" s="105"/>
      <c r="D4" s="105"/>
      <c r="E4" s="105"/>
      <c r="F4" s="105"/>
      <c r="G4" s="105"/>
      <c r="H4" s="105"/>
      <c r="I4" s="105"/>
      <c r="J4" s="105"/>
    </row>
    <row r="5" spans="1:10" ht="21.95" customHeight="1" x14ac:dyDescent="0.25">
      <c r="A5" s="5" t="s">
        <v>244</v>
      </c>
      <c r="B5" s="5" t="s">
        <v>245</v>
      </c>
      <c r="C5" s="5" t="s">
        <v>246</v>
      </c>
      <c r="D5" s="5" t="s">
        <v>247</v>
      </c>
      <c r="E5" s="5" t="s">
        <v>248</v>
      </c>
      <c r="F5" s="5" t="s">
        <v>249</v>
      </c>
      <c r="G5" s="5" t="s">
        <v>250</v>
      </c>
      <c r="H5" s="5" t="s">
        <v>251</v>
      </c>
      <c r="I5" s="5" t="s">
        <v>252</v>
      </c>
      <c r="J5" s="5" t="s">
        <v>253</v>
      </c>
    </row>
    <row r="6" spans="1:10" ht="27.95" customHeight="1" x14ac:dyDescent="0.25">
      <c r="A6" s="91">
        <f>COUNTA(BASE_DATOS!A4:A1000)-1</f>
        <v>0</v>
      </c>
      <c r="B6" s="92">
        <f>SUMIF(BASE_DATOS!A4:A1000,"&lt;&gt;"&amp;"",BASE_DATOS!AB4:AB1000)</f>
        <v>19.2</v>
      </c>
      <c r="C6" s="93">
        <f>IFERROR(B6/A6,0)</f>
        <v>0</v>
      </c>
      <c r="D6" s="94">
        <f>SUMIF(BASE_DATOS!A4:A1000,"&lt;&gt;"&amp;"",BASE_DATOS!H4:H1000)</f>
        <v>222</v>
      </c>
      <c r="E6" s="95">
        <f>SUMIF(BASE_DATOS!A4:A1000,"&lt;&gt;"&amp;"",BASE_DATOS!AC4:AC1000)</f>
        <v>440</v>
      </c>
      <c r="F6" s="96">
        <f>COUNTIF(BASE_DATOS!AE4:AE1000,"🟢*")</f>
        <v>0</v>
      </c>
      <c r="G6" s="97">
        <f>COUNTIF(BASE_DATOS!AE4:AE1000,"🟡*")</f>
        <v>0</v>
      </c>
      <c r="H6" s="98">
        <f>COUNTIF(BASE_DATOS!AE4:AE1000,"🟠*")</f>
        <v>0</v>
      </c>
      <c r="I6" s="99">
        <f>COUNTIF(BASE_DATOS!AE4:AE1000,"🔴*")</f>
        <v>0</v>
      </c>
      <c r="J6" s="100" t="str">
        <f>IF(E6&gt;=0,IF(E6&lt;=5,"🟢 SANO",IF(E6&lt;=10,"🟡 REVISAR",IF(E6&lt;=15,"🟠 ALERTA","🔴 PROBLEMA"))),"🔴 FALTANTE")</f>
        <v>🔴 PROBLEMA</v>
      </c>
    </row>
    <row r="8" spans="1:10" ht="20.100000000000001" customHeight="1" x14ac:dyDescent="0.25">
      <c r="A8" s="108" t="s">
        <v>254</v>
      </c>
      <c r="B8" s="105"/>
      <c r="C8" s="105"/>
      <c r="D8" s="105"/>
      <c r="E8" s="105"/>
      <c r="F8" s="105"/>
      <c r="G8" s="105"/>
      <c r="H8" s="105"/>
      <c r="I8" s="105"/>
      <c r="J8" s="105"/>
    </row>
    <row r="9" spans="1:10" ht="21.95" customHeight="1" x14ac:dyDescent="0.25">
      <c r="A9" s="16" t="s">
        <v>204</v>
      </c>
      <c r="B9" s="16" t="s">
        <v>205</v>
      </c>
      <c r="C9" s="16" t="s">
        <v>255</v>
      </c>
      <c r="D9" s="16" t="s">
        <v>256</v>
      </c>
      <c r="E9" s="16" t="s">
        <v>125</v>
      </c>
      <c r="F9" s="16" t="s">
        <v>257</v>
      </c>
      <c r="G9" s="16" t="s">
        <v>231</v>
      </c>
      <c r="H9" s="16" t="s">
        <v>56</v>
      </c>
      <c r="I9" s="16" t="s">
        <v>253</v>
      </c>
      <c r="J9" s="16" t="s">
        <v>121</v>
      </c>
    </row>
    <row r="10" spans="1:10" ht="18" customHeight="1" x14ac:dyDescent="0.25">
      <c r="A10" s="101">
        <f>IFERROR(BASE_DATOS!A4,"")</f>
        <v>46096</v>
      </c>
      <c r="B10" s="102" t="str">
        <f>IFERROR(BASE_DATOS!B4,"")</f>
        <v>Sábado</v>
      </c>
      <c r="C10" s="7">
        <f>IFERROR(BASE_DATOS!AB4,"")</f>
        <v>19.2</v>
      </c>
      <c r="D10" s="10">
        <f>IFERROR(BASE_DATOS!H4,"")</f>
        <v>222</v>
      </c>
      <c r="E10" s="10">
        <f>IFERROR(BASE_DATOS!I4,"")</f>
        <v>84</v>
      </c>
      <c r="F10" s="7">
        <f>IFERROR(BASE_DATOS!AC4,"")</f>
        <v>440</v>
      </c>
      <c r="G10" s="7">
        <f>IFERROR(BASE_DATOS!AD4,"")</f>
        <v>428.75</v>
      </c>
      <c r="H10" s="102">
        <f>IFERROR(BASE_DATOS!AE4,"")</f>
        <v>11.25</v>
      </c>
      <c r="I10" s="102" t="str">
        <f>IFERROR(BASE_DATOS!AF4,"")</f>
        <v>Sobrante</v>
      </c>
      <c r="J10" s="102">
        <f>IFERROR(BASE_DATOS!AH4,"")</f>
        <v>7</v>
      </c>
    </row>
    <row r="11" spans="1:10" ht="18" customHeight="1" x14ac:dyDescent="0.25">
      <c r="A11" s="89">
        <f>IFERROR(BASE_DATOS!A5,"")</f>
        <v>0</v>
      </c>
      <c r="B11" s="103">
        <f>IFERROR(BASE_DATOS!B5,"")</f>
        <v>0</v>
      </c>
      <c r="C11" s="12">
        <f>IFERROR(BASE_DATOS!AB5,"")</f>
        <v>0</v>
      </c>
      <c r="D11" s="15">
        <f>IFERROR(BASE_DATOS!H5,"")</f>
        <v>0</v>
      </c>
      <c r="E11" s="15">
        <f>IFERROR(BASE_DATOS!I5,"")</f>
        <v>0</v>
      </c>
      <c r="F11" s="12">
        <f>IFERROR(BASE_DATOS!AC5,"")</f>
        <v>0</v>
      </c>
      <c r="G11" s="12">
        <f>IFERROR(BASE_DATOS!AD5,"")</f>
        <v>0</v>
      </c>
      <c r="H11" s="103">
        <f>IFERROR(BASE_DATOS!AE5,"")</f>
        <v>0</v>
      </c>
      <c r="I11" s="103">
        <f>IFERROR(BASE_DATOS!AF5,"")</f>
        <v>0</v>
      </c>
      <c r="J11" s="103">
        <f>IFERROR(BASE_DATOS!AH5,"")</f>
        <v>0</v>
      </c>
    </row>
    <row r="12" spans="1:10" ht="18" customHeight="1" x14ac:dyDescent="0.25">
      <c r="A12" s="101">
        <f>IFERROR(BASE_DATOS!A6,"")</f>
        <v>0</v>
      </c>
      <c r="B12" s="102">
        <f>IFERROR(BASE_DATOS!B6,"")</f>
        <v>0</v>
      </c>
      <c r="C12" s="7">
        <f>IFERROR(BASE_DATOS!AB6,"")</f>
        <v>0</v>
      </c>
      <c r="D12" s="10">
        <f>IFERROR(BASE_DATOS!H6,"")</f>
        <v>0</v>
      </c>
      <c r="E12" s="10">
        <f>IFERROR(BASE_DATOS!I6,"")</f>
        <v>0</v>
      </c>
      <c r="F12" s="7">
        <f>IFERROR(BASE_DATOS!AC6,"")</f>
        <v>0</v>
      </c>
      <c r="G12" s="7">
        <f>IFERROR(BASE_DATOS!AD6,"")</f>
        <v>0</v>
      </c>
      <c r="H12" s="102">
        <f>IFERROR(BASE_DATOS!AE6,"")</f>
        <v>0</v>
      </c>
      <c r="I12" s="102">
        <f>IFERROR(BASE_DATOS!AF6,"")</f>
        <v>0</v>
      </c>
      <c r="J12" s="102">
        <f>IFERROR(BASE_DATOS!AH6,"")</f>
        <v>0</v>
      </c>
    </row>
    <row r="13" spans="1:10" ht="18" customHeight="1" x14ac:dyDescent="0.25">
      <c r="A13" s="89">
        <f>IFERROR(BASE_DATOS!A7,"")</f>
        <v>0</v>
      </c>
      <c r="B13" s="103">
        <f>IFERROR(BASE_DATOS!B7,"")</f>
        <v>0</v>
      </c>
      <c r="C13" s="12">
        <f>IFERROR(BASE_DATOS!AB7,"")</f>
        <v>0</v>
      </c>
      <c r="D13" s="15">
        <f>IFERROR(BASE_DATOS!H7,"")</f>
        <v>0</v>
      </c>
      <c r="E13" s="15">
        <f>IFERROR(BASE_DATOS!I7,"")</f>
        <v>0</v>
      </c>
      <c r="F13" s="12">
        <f>IFERROR(BASE_DATOS!AC7,"")</f>
        <v>0</v>
      </c>
      <c r="G13" s="12">
        <f>IFERROR(BASE_DATOS!AD7,"")</f>
        <v>0</v>
      </c>
      <c r="H13" s="103">
        <f>IFERROR(BASE_DATOS!AE7,"")</f>
        <v>0</v>
      </c>
      <c r="I13" s="103">
        <f>IFERROR(BASE_DATOS!AF7,"")</f>
        <v>0</v>
      </c>
      <c r="J13" s="103">
        <f>IFERROR(BASE_DATOS!AH7,"")</f>
        <v>0</v>
      </c>
    </row>
    <row r="14" spans="1:10" ht="18" customHeight="1" x14ac:dyDescent="0.25">
      <c r="A14" s="101">
        <f>IFERROR(BASE_DATOS!A8,"")</f>
        <v>0</v>
      </c>
      <c r="B14" s="102">
        <f>IFERROR(BASE_DATOS!B8,"")</f>
        <v>0</v>
      </c>
      <c r="C14" s="7">
        <f>IFERROR(BASE_DATOS!AB8,"")</f>
        <v>0</v>
      </c>
      <c r="D14" s="10">
        <f>IFERROR(BASE_DATOS!H8,"")</f>
        <v>0</v>
      </c>
      <c r="E14" s="10">
        <f>IFERROR(BASE_DATOS!I8,"")</f>
        <v>0</v>
      </c>
      <c r="F14" s="7">
        <f>IFERROR(BASE_DATOS!AC8,"")</f>
        <v>0</v>
      </c>
      <c r="G14" s="7">
        <f>IFERROR(BASE_DATOS!AD8,"")</f>
        <v>0</v>
      </c>
      <c r="H14" s="102">
        <f>IFERROR(BASE_DATOS!AE8,"")</f>
        <v>0</v>
      </c>
      <c r="I14" s="102">
        <f>IFERROR(BASE_DATOS!AF8,"")</f>
        <v>0</v>
      </c>
      <c r="J14" s="102">
        <f>IFERROR(BASE_DATOS!AH8,"")</f>
        <v>0</v>
      </c>
    </row>
    <row r="15" spans="1:10" ht="18" customHeight="1" x14ac:dyDescent="0.25">
      <c r="A15" s="89">
        <f>IFERROR(BASE_DATOS!A9,"")</f>
        <v>0</v>
      </c>
      <c r="B15" s="103">
        <f>IFERROR(BASE_DATOS!B9,"")</f>
        <v>0</v>
      </c>
      <c r="C15" s="12">
        <f>IFERROR(BASE_DATOS!AB9,"")</f>
        <v>0</v>
      </c>
      <c r="D15" s="15">
        <f>IFERROR(BASE_DATOS!H9,"")</f>
        <v>0</v>
      </c>
      <c r="E15" s="15">
        <f>IFERROR(BASE_DATOS!I9,"")</f>
        <v>0</v>
      </c>
      <c r="F15" s="12">
        <f>IFERROR(BASE_DATOS!AC9,"")</f>
        <v>0</v>
      </c>
      <c r="G15" s="12">
        <f>IFERROR(BASE_DATOS!AD9,"")</f>
        <v>0</v>
      </c>
      <c r="H15" s="103">
        <f>IFERROR(BASE_DATOS!AE9,"")</f>
        <v>0</v>
      </c>
      <c r="I15" s="103">
        <f>IFERROR(BASE_DATOS!AF9,"")</f>
        <v>0</v>
      </c>
      <c r="J15" s="103">
        <f>IFERROR(BASE_DATOS!AH9,"")</f>
        <v>0</v>
      </c>
    </row>
    <row r="16" spans="1:10" ht="18" customHeight="1" x14ac:dyDescent="0.25">
      <c r="A16" s="101">
        <f>IFERROR(BASE_DATOS!A10,"")</f>
        <v>0</v>
      </c>
      <c r="B16" s="102">
        <f>IFERROR(BASE_DATOS!B10,"")</f>
        <v>0</v>
      </c>
      <c r="C16" s="7">
        <f>IFERROR(BASE_DATOS!AB10,"")</f>
        <v>0</v>
      </c>
      <c r="D16" s="10">
        <f>IFERROR(BASE_DATOS!H10,"")</f>
        <v>0</v>
      </c>
      <c r="E16" s="10">
        <f>IFERROR(BASE_DATOS!I10,"")</f>
        <v>0</v>
      </c>
      <c r="F16" s="7">
        <f>IFERROR(BASE_DATOS!AC10,"")</f>
        <v>0</v>
      </c>
      <c r="G16" s="7">
        <f>IFERROR(BASE_DATOS!AD10,"")</f>
        <v>0</v>
      </c>
      <c r="H16" s="102">
        <f>IFERROR(BASE_DATOS!AE10,"")</f>
        <v>0</v>
      </c>
      <c r="I16" s="102">
        <f>IFERROR(BASE_DATOS!AF10,"")</f>
        <v>0</v>
      </c>
      <c r="J16" s="102">
        <f>IFERROR(BASE_DATOS!AH10,"")</f>
        <v>0</v>
      </c>
    </row>
    <row r="17" spans="1:10" ht="18" customHeight="1" x14ac:dyDescent="0.25">
      <c r="A17" s="89">
        <f>IFERROR(BASE_DATOS!A11,"")</f>
        <v>0</v>
      </c>
      <c r="B17" s="103">
        <f>IFERROR(BASE_DATOS!B11,"")</f>
        <v>0</v>
      </c>
      <c r="C17" s="12">
        <f>IFERROR(BASE_DATOS!AB11,"")</f>
        <v>0</v>
      </c>
      <c r="D17" s="15">
        <f>IFERROR(BASE_DATOS!H11,"")</f>
        <v>0</v>
      </c>
      <c r="E17" s="15">
        <f>IFERROR(BASE_DATOS!I11,"")</f>
        <v>0</v>
      </c>
      <c r="F17" s="12">
        <f>IFERROR(BASE_DATOS!AC11,"")</f>
        <v>0</v>
      </c>
      <c r="G17" s="12">
        <f>IFERROR(BASE_DATOS!AD11,"")</f>
        <v>0</v>
      </c>
      <c r="H17" s="103">
        <f>IFERROR(BASE_DATOS!AE11,"")</f>
        <v>0</v>
      </c>
      <c r="I17" s="103">
        <f>IFERROR(BASE_DATOS!AF11,"")</f>
        <v>0</v>
      </c>
      <c r="J17" s="103">
        <f>IFERROR(BASE_DATOS!AH11,"")</f>
        <v>0</v>
      </c>
    </row>
    <row r="18" spans="1:10" ht="18" customHeight="1" x14ac:dyDescent="0.25">
      <c r="A18" s="101">
        <f>IFERROR(BASE_DATOS!A12,"")</f>
        <v>0</v>
      </c>
      <c r="B18" s="102">
        <f>IFERROR(BASE_DATOS!B12,"")</f>
        <v>0</v>
      </c>
      <c r="C18" s="7">
        <f>IFERROR(BASE_DATOS!AB12,"")</f>
        <v>0</v>
      </c>
      <c r="D18" s="10">
        <f>IFERROR(BASE_DATOS!H12,"")</f>
        <v>0</v>
      </c>
      <c r="E18" s="10">
        <f>IFERROR(BASE_DATOS!I12,"")</f>
        <v>0</v>
      </c>
      <c r="F18" s="7">
        <f>IFERROR(BASE_DATOS!AC12,"")</f>
        <v>0</v>
      </c>
      <c r="G18" s="7">
        <f>IFERROR(BASE_DATOS!AD12,"")</f>
        <v>0</v>
      </c>
      <c r="H18" s="102">
        <f>IFERROR(BASE_DATOS!AE12,"")</f>
        <v>0</v>
      </c>
      <c r="I18" s="102">
        <f>IFERROR(BASE_DATOS!AF12,"")</f>
        <v>0</v>
      </c>
      <c r="J18" s="102">
        <f>IFERROR(BASE_DATOS!AH12,"")</f>
        <v>0</v>
      </c>
    </row>
    <row r="19" spans="1:10" ht="18" customHeight="1" x14ac:dyDescent="0.25">
      <c r="A19" s="89">
        <f>IFERROR(BASE_DATOS!A13,"")</f>
        <v>0</v>
      </c>
      <c r="B19" s="103">
        <f>IFERROR(BASE_DATOS!B13,"")</f>
        <v>0</v>
      </c>
      <c r="C19" s="12">
        <f>IFERROR(BASE_DATOS!AB13,"")</f>
        <v>0</v>
      </c>
      <c r="D19" s="15">
        <f>IFERROR(BASE_DATOS!H13,"")</f>
        <v>0</v>
      </c>
      <c r="E19" s="15">
        <f>IFERROR(BASE_DATOS!I13,"")</f>
        <v>0</v>
      </c>
      <c r="F19" s="12">
        <f>IFERROR(BASE_DATOS!AC13,"")</f>
        <v>0</v>
      </c>
      <c r="G19" s="12">
        <f>IFERROR(BASE_DATOS!AD13,"")</f>
        <v>0</v>
      </c>
      <c r="H19" s="103">
        <f>IFERROR(BASE_DATOS!AE13,"")</f>
        <v>0</v>
      </c>
      <c r="I19" s="103">
        <f>IFERROR(BASE_DATOS!AF13,"")</f>
        <v>0</v>
      </c>
      <c r="J19" s="103">
        <f>IFERROR(BASE_DATOS!AH13,"")</f>
        <v>0</v>
      </c>
    </row>
  </sheetData>
  <mergeCells count="4">
    <mergeCell ref="A1:J1"/>
    <mergeCell ref="A4:J4"/>
    <mergeCell ref="A8:J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INSTRUCCIONES</vt:lpstr>
      <vt:lpstr>PARAMETROS</vt:lpstr>
      <vt:lpstr>CIERRE_DIARIO</vt:lpstr>
      <vt:lpstr>BASE_DATOS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sivar dogs</cp:lastModifiedBy>
  <dcterms:created xsi:type="dcterms:W3CDTF">2026-03-19T04:36:55Z</dcterms:created>
  <dcterms:modified xsi:type="dcterms:W3CDTF">2026-03-20T16:46:38Z</dcterms:modified>
</cp:coreProperties>
</file>